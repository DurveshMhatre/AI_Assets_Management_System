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Encure IT System\AMS AI System\asset-management\"/>
    </mc:Choice>
  </mc:AlternateContent>
  <xr:revisionPtr revIDLastSave="0" documentId="13_ncr:1_{379DF4EF-F10D-41ED-A62B-39AE24F6E9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ster Temghar Assets" sheetId="1" r:id="rId1"/>
  </sheets>
  <definedNames>
    <definedName name="_xlnm._FilterDatabase" localSheetId="0" hidden="1">'Master Temghar Assets'!$A$1:$U$937</definedName>
    <definedName name="_xlnm.Print_Titles" localSheetId="0">'Master Temghar Assets'!$1:$1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2" i="1" l="1"/>
  <c r="O456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4" i="1"/>
  <c r="N913" i="1"/>
  <c r="O913" i="1" s="1"/>
  <c r="O912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N814" i="1"/>
  <c r="O814" i="1" s="1"/>
  <c r="N813" i="1"/>
  <c r="O813" i="1" s="1"/>
  <c r="N812" i="1"/>
  <c r="O812" i="1" s="1"/>
  <c r="N811" i="1"/>
  <c r="O811" i="1" s="1"/>
  <c r="N810" i="1"/>
  <c r="O810" i="1" s="1"/>
  <c r="N809" i="1"/>
  <c r="O809" i="1" s="1"/>
  <c r="N808" i="1"/>
  <c r="O808" i="1" s="1"/>
  <c r="N807" i="1"/>
  <c r="O807" i="1" s="1"/>
  <c r="N806" i="1"/>
  <c r="O806" i="1" s="1"/>
  <c r="N805" i="1"/>
  <c r="O805" i="1" s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N699" i="1"/>
  <c r="O699" i="1" s="1"/>
  <c r="N698" i="1"/>
  <c r="O698" i="1" s="1"/>
  <c r="O697" i="1"/>
  <c r="O696" i="1"/>
  <c r="O695" i="1"/>
  <c r="O694" i="1"/>
  <c r="O693" i="1"/>
  <c r="O691" i="1"/>
  <c r="O690" i="1"/>
  <c r="O689" i="1"/>
  <c r="O688" i="1"/>
  <c r="N687" i="1"/>
  <c r="O687" i="1" s="1"/>
  <c r="O686" i="1"/>
  <c r="O685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7" i="1"/>
  <c r="O396" i="1"/>
  <c r="O395" i="1"/>
  <c r="O394" i="1"/>
  <c r="O393" i="1"/>
  <c r="O392" i="1"/>
  <c r="O391" i="1"/>
  <c r="N390" i="1"/>
  <c r="O390" i="1" s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N369" i="1"/>
  <c r="O369" i="1" s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N349" i="1"/>
  <c r="O349" i="1" s="1"/>
  <c r="O348" i="1"/>
  <c r="O347" i="1"/>
  <c r="O346" i="1"/>
  <c r="O345" i="1"/>
  <c r="O344" i="1"/>
  <c r="O343" i="1"/>
  <c r="O342" i="1"/>
  <c r="O341" i="1"/>
  <c r="O340" i="1"/>
  <c r="N339" i="1"/>
  <c r="O339" i="1" s="1"/>
  <c r="O338" i="1"/>
  <c r="O337" i="1"/>
  <c r="O336" i="1"/>
  <c r="O335" i="1"/>
  <c r="O334" i="1"/>
  <c r="O333" i="1"/>
  <c r="O332" i="1"/>
  <c r="N331" i="1"/>
  <c r="O331" i="1" s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N122" i="1"/>
  <c r="O122" i="1" s="1"/>
  <c r="O121" i="1"/>
  <c r="N120" i="1"/>
  <c r="O120" i="1" s="1"/>
  <c r="N119" i="1"/>
  <c r="O119" i="1" s="1"/>
  <c r="N118" i="1"/>
  <c r="O118" i="1" s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<sst xmlns="http://schemas.openxmlformats.org/spreadsheetml/2006/main" count="14038" uniqueCount="1430">
  <si>
    <t xml:space="preserve"> Name of assets </t>
  </si>
  <si>
    <t>Description</t>
  </si>
  <si>
    <t>Brand</t>
  </si>
  <si>
    <t>Sub Location</t>
  </si>
  <si>
    <t xml:space="preserve">Qty </t>
  </si>
  <si>
    <t>Supplier Name</t>
  </si>
  <si>
    <t>Location</t>
  </si>
  <si>
    <t>Asset Group</t>
  </si>
  <si>
    <t>Availability status</t>
  </si>
  <si>
    <t>Scrap</t>
  </si>
  <si>
    <t>Excel Entry Date</t>
  </si>
  <si>
    <t>Bill No.</t>
  </si>
  <si>
    <t>Rate</t>
  </si>
  <si>
    <t>Gross Amount</t>
  </si>
  <si>
    <t>Website Status</t>
  </si>
  <si>
    <t>Supplier Email</t>
  </si>
  <si>
    <t>Supplier Contact</t>
  </si>
  <si>
    <t>Supplier Address</t>
  </si>
  <si>
    <t>Year</t>
  </si>
  <si>
    <t>Photo Ref</t>
  </si>
  <si>
    <t>900 HP Pump Set No.1</t>
  </si>
  <si>
    <t>kirloskar</t>
  </si>
  <si>
    <t>New Pump House</t>
  </si>
  <si>
    <t>Temghar</t>
  </si>
  <si>
    <t>Plant and Machinery</t>
  </si>
  <si>
    <t>Found</t>
  </si>
  <si>
    <t>No</t>
  </si>
  <si>
    <t>900 HP Pump Set No.2</t>
  </si>
  <si>
    <t>M/s ARW Infra Projects Pvt Ltd., Mumbai</t>
  </si>
  <si>
    <t>B-1/24 For 2022-23</t>
  </si>
  <si>
    <t>tender@waghindia.com</t>
  </si>
  <si>
    <t xml:space="preserve">1st Floor, A 112, Bhaveshwar Arcade, LBS Marg, Ghatkopar (W) </t>
  </si>
  <si>
    <t>2022-23</t>
  </si>
  <si>
    <t>900 HP Pump Set No.3</t>
  </si>
  <si>
    <t>VT Pump 79.3m head, 2340 flow, SR.no. 153C822006</t>
  </si>
  <si>
    <t>900 HP Pump Set No.4</t>
  </si>
  <si>
    <t>VT Pump 79.3m head, 2340 flow, SR.no. 153C822007</t>
  </si>
  <si>
    <t>NA</t>
  </si>
  <si>
    <t>900 HP Pump Set No.5</t>
  </si>
  <si>
    <t>VT Pump 79.3m head, 2340 flow, SR.no. 153C824008</t>
  </si>
  <si>
    <t>B-1/32 For 2023-24</t>
  </si>
  <si>
    <t>2023-24</t>
  </si>
  <si>
    <t>900 HP Pump Set No.6</t>
  </si>
  <si>
    <t>VT Pump 79.3m head, 2340 flow, SR.no. 153C824006</t>
  </si>
  <si>
    <t>900 HP Pump Set No.7</t>
  </si>
  <si>
    <t>VT Pump 79.3m head, 2340 flow, SR.no.</t>
  </si>
  <si>
    <t>FBM</t>
  </si>
  <si>
    <t>900 HP Pump Set No.8</t>
  </si>
  <si>
    <t>VT Pump, 79.3 m head, 2340 flow, Sr. No.</t>
  </si>
  <si>
    <t>Old Pump House</t>
  </si>
  <si>
    <t>Uploaded</t>
  </si>
  <si>
    <t>VT Pump, Head 51 m, Flow 2340 Cum/Hr., Sr. No.</t>
  </si>
  <si>
    <t>Flowmore</t>
  </si>
  <si>
    <t>500 HP Pump Set No.1</t>
  </si>
  <si>
    <t>500 HP Pump Set No.2</t>
  </si>
  <si>
    <t>500 HP Pump Set No.3</t>
  </si>
  <si>
    <t>900 HP Motor for Pump set No.1</t>
  </si>
  <si>
    <t>Marathon</t>
  </si>
  <si>
    <t>2019-20</t>
  </si>
  <si>
    <t>900 HP Motor for Pump set No.3</t>
  </si>
  <si>
    <t>900 HP,3.3 KV, 3 PH Induction motor, sr no. UPI182137/2</t>
  </si>
  <si>
    <t>900 HP Motor for Pump set No.4</t>
  </si>
  <si>
    <t>900 HP,3.3 KV, 3 PH Induction motor, sr no.</t>
  </si>
  <si>
    <t>900 HP Motor for Pump set No.5</t>
  </si>
  <si>
    <t>900 HP,3.3 KV, 3 PH Induction motor, Sr. No. UP182139/1</t>
  </si>
  <si>
    <t>900 HP Motor for Pump set No.6</t>
  </si>
  <si>
    <t>900 HP,3.3 KV, 3 PH Induction motor, sr.No. UP182139/2</t>
  </si>
  <si>
    <t>900 HP Motor for Pump set No.7</t>
  </si>
  <si>
    <t>900 HP Motor for Pump set No.8</t>
  </si>
  <si>
    <t>Issued to TMC</t>
  </si>
  <si>
    <t>Jyoti</t>
  </si>
  <si>
    <t>Dismental</t>
  </si>
  <si>
    <t>Yes</t>
  </si>
  <si>
    <t>Updated</t>
  </si>
  <si>
    <t>500 HP Motor Pump Set No.1</t>
  </si>
  <si>
    <t>500 HP,3.3 KV, 3 PH Induction motor, sr no.</t>
  </si>
  <si>
    <t>500 HP Motor Pump Set No.2</t>
  </si>
  <si>
    <t>500 HP Motor Pump Set No.3</t>
  </si>
  <si>
    <t xml:space="preserve">600 mm, PN 1.6, Sr. No. </t>
  </si>
  <si>
    <t>Anant Hydrotech</t>
  </si>
  <si>
    <t>600 mm, PN 1.6, Sr. No. 24DJ51</t>
  </si>
  <si>
    <t>DVPL</t>
  </si>
  <si>
    <t>600 mm, PN 1.6, Sr. No. 24DJ52</t>
  </si>
  <si>
    <t>Mana Electric and Engineering Services</t>
  </si>
  <si>
    <t>NO</t>
  </si>
  <si>
    <t>CI D/F reflux valves (CI D/F reflux valves (600 mm, PN 1.6, Sr. No.))</t>
  </si>
  <si>
    <t xml:space="preserve">NRV for 900 HP </t>
  </si>
  <si>
    <t>NRV for 900 HP No.2</t>
  </si>
  <si>
    <t>CI D/F reflux valves (600 mm, PN 1.6, Sr. No.)</t>
  </si>
  <si>
    <t>NRV for 900 HP No.3</t>
  </si>
  <si>
    <t>CI D/F reflux valves  (600 mm, PN 1.6, SR NO. 24SN10)</t>
  </si>
  <si>
    <t>CI D/F reflux valves  (600 mm, PN 1.6, SR NO. 24SN29)</t>
  </si>
  <si>
    <t>NRV for 900 HP NO.6</t>
  </si>
  <si>
    <t>CI D/F reflux valves  (600 mm, PN 1.6, SR NO. 24SN31)</t>
  </si>
  <si>
    <t>NRV for 900 HP NO.7</t>
  </si>
  <si>
    <t>CI D/F reflux valves  (80mm, PN 1.6 Sr. No. 24SN09)</t>
  </si>
  <si>
    <t>NRV for 900 HP NO.8</t>
  </si>
  <si>
    <t>600 mm, PN 1.6, Sr. No.</t>
  </si>
  <si>
    <t>NRV for 500 HP No. 1</t>
  </si>
  <si>
    <t>NRV for 500 HP No. 2</t>
  </si>
  <si>
    <t>NRV for 500 HP No. 3</t>
  </si>
  <si>
    <t>Sluice Valve for 900 HP No.1</t>
  </si>
  <si>
    <t>600 mm, PN 1.6, SR NO. 24S116</t>
  </si>
  <si>
    <t>Sluice Valve for 900 HP No.2</t>
  </si>
  <si>
    <t>600 mm, PN 1.6, SR NO. 24S117</t>
  </si>
  <si>
    <t>Sluice Valve for 900 HP No.3</t>
  </si>
  <si>
    <t>600 mm, PN 1.6, SR NO.</t>
  </si>
  <si>
    <t>Sluice Valve for 900 HP No.4</t>
  </si>
  <si>
    <t>Sluice Valve for 900 HP No.5</t>
  </si>
  <si>
    <t>600 mm, PN 1.6, SR NO. 24S402</t>
  </si>
  <si>
    <t>Sluice Valve for 900 HP No.6</t>
  </si>
  <si>
    <t>600 mm, PN 1.6, SR NO. 24S401</t>
  </si>
  <si>
    <t>Sluice Valve for 900 HP No.7</t>
  </si>
  <si>
    <t>600 mm, PN 1.6, SR NO. 24S115</t>
  </si>
  <si>
    <t>Sluice Valve for 900 HP No.8</t>
  </si>
  <si>
    <t>600 mm, PN 1.6, SR NO. 24S120</t>
  </si>
  <si>
    <t>Sluice Valve for 500 HP No.1</t>
  </si>
  <si>
    <t>Sluice Valve for 500 HP No.2</t>
  </si>
  <si>
    <t>Sluice Valve for 500 HP No.3</t>
  </si>
  <si>
    <t>600 mm, PN 1.6, SR NO. 24S121</t>
  </si>
  <si>
    <t>Butterfly Valve for 900 HP No.1</t>
  </si>
  <si>
    <t>600 mm, PN 1.6, SR NO. 24B254</t>
  </si>
  <si>
    <t>Butterfly Valve for 900 HP No.2</t>
  </si>
  <si>
    <t>600 mm, PN 1.6, SR NO. 24B251</t>
  </si>
  <si>
    <t>Butterfly Valve for 900 HP No.3</t>
  </si>
  <si>
    <t>600 mm, PN 1.6, SR NO. 24B249</t>
  </si>
  <si>
    <t>Butterfly Valve for 900 HP No.4</t>
  </si>
  <si>
    <t>Butterfly Valve for 900 HP No.5</t>
  </si>
  <si>
    <t>600 mm, PN 1.6, SR NO. 24B604</t>
  </si>
  <si>
    <t>Butterfly Valve for 900 HP No.6</t>
  </si>
  <si>
    <t>600 mm, PN 1.6, SR NO.24B603</t>
  </si>
  <si>
    <t>Butterfly Valve for 900 HP No.7</t>
  </si>
  <si>
    <t>600 mm, PN 1.6, SR NO. 24B490</t>
  </si>
  <si>
    <t>Butterfly Valve for 900 HP No.8</t>
  </si>
  <si>
    <t>Butterfly Valve for 500 HP No.1</t>
  </si>
  <si>
    <t>Butterfly Valve for 500 HP No.2</t>
  </si>
  <si>
    <t>Butterfly Valve for 500 HP No.3</t>
  </si>
  <si>
    <t>600 mm, PN 1.6, SR NO. 24B250</t>
  </si>
  <si>
    <t>Air Valve For 900HP Pump Set No.1</t>
  </si>
  <si>
    <t>900 HP Pump Set No.1 100mm, PN 1.6 Sr. No.</t>
  </si>
  <si>
    <t>Air Valve For 900HP Pump Set No.2</t>
  </si>
  <si>
    <t>900 HP Pump Set No.2 100mm, PN 1.6 Sr. No.</t>
  </si>
  <si>
    <t>Air Valve For 900HP Pump Set No.3</t>
  </si>
  <si>
    <t>900 HP Pump Set No.3 100mm, PN 1.6 Sr. No.</t>
  </si>
  <si>
    <t>Air Valve For 900HP Pump Set No.4</t>
  </si>
  <si>
    <t>900 HP Pump Set No.4 100mm, PN 1.6 Sr. No.</t>
  </si>
  <si>
    <t>Air Valve For 900HP Pump Set No.5</t>
  </si>
  <si>
    <t>900 HP Pump Set No.5 100mm, PN 1.6 Sr. No.</t>
  </si>
  <si>
    <t>Air Valve For 900HP Pump Set No.6</t>
  </si>
  <si>
    <t>900 HP Pump Set No.6 100mm, PN 1.6 Sr. No.</t>
  </si>
  <si>
    <t>Air Valve For 900HP Pump Set No.7</t>
  </si>
  <si>
    <t>900 HP Pump Set No.7 100mm, PN 1.6 Sr. No.</t>
  </si>
  <si>
    <t>Air Valve For 900HP Pump Set No.8</t>
  </si>
  <si>
    <t>900 HP Pump Set No.8 100mm, PN 1.6 Sr. No.</t>
  </si>
  <si>
    <t>Air Valve for Pump set No.1</t>
  </si>
  <si>
    <t>Pump Set No.1 100mm, PN 1.6 Sr. No.</t>
  </si>
  <si>
    <t>Air Valve for Pump set No.2</t>
  </si>
  <si>
    <t>Pump Set No.2 100mm, PN 1.6 Sr. No.</t>
  </si>
  <si>
    <t>Air Valve for Pump set No.3</t>
  </si>
  <si>
    <t>Pump Set No.3 100mm, PN 1.6 Sr. No.</t>
  </si>
  <si>
    <t>Air Valve for Pump set No.4</t>
  </si>
  <si>
    <t>Pump Set No.4 100mm, PN 1.6 Sr. No.</t>
  </si>
  <si>
    <t>Air Valve for Pump set No.5</t>
  </si>
  <si>
    <t>Pump Set No.5 100mm, PN 1.6 Sr. No.</t>
  </si>
  <si>
    <t>Air Valve for Pump set No.6</t>
  </si>
  <si>
    <t>Pump Set No.6 100mm, PN 1.6 Sr. No.</t>
  </si>
  <si>
    <t>Air Valve for Pump set No.7</t>
  </si>
  <si>
    <t>Pump Set No.7 100mm, PN 1.6 Sr. No.</t>
  </si>
  <si>
    <t>Air Valve For 500HP Pump Set No.1</t>
  </si>
  <si>
    <t>100mm, PN 1.6 Sr. No.</t>
  </si>
  <si>
    <t>Air Valve For 500HP Pump Set No.2</t>
  </si>
  <si>
    <t>Air Valve For 500HP Pump Set No.3</t>
  </si>
  <si>
    <t>Air Valve for Pump set No.8</t>
  </si>
  <si>
    <t>Pump Set No.8 100mm, PN 1.6 Sr. No.</t>
  </si>
  <si>
    <t>Actuators for 900 HP pump no.1</t>
  </si>
  <si>
    <t>3-kw, SR NO. 2B47870105</t>
  </si>
  <si>
    <t>ROTORK</t>
  </si>
  <si>
    <t>Actuators for 900 HP pump no.2</t>
  </si>
  <si>
    <t>SR NO. 2B47870104</t>
  </si>
  <si>
    <t>Actuators for 900 HP pump no.3</t>
  </si>
  <si>
    <t>3-kw, SR NO. 2B47870107</t>
  </si>
  <si>
    <t>Actuators for 900 HP pump no.4</t>
  </si>
  <si>
    <t>3-kw, SR NO. 2B47870106</t>
  </si>
  <si>
    <t>Actuators for 900 HP pump no.5</t>
  </si>
  <si>
    <t>2.5 kw, SR NO. 3623ID91238</t>
  </si>
  <si>
    <t>AUMA</t>
  </si>
  <si>
    <t>Actuators for 900 HP pump no.6</t>
  </si>
  <si>
    <t>2.5 kw, SR NO. 3623ID91239</t>
  </si>
  <si>
    <t>Actuators for 900 HP pump no.7</t>
  </si>
  <si>
    <t>3-kw,SR NO. 3623ID91240</t>
  </si>
  <si>
    <t>Actuators for 900 HP pump no.8</t>
  </si>
  <si>
    <t>3-kw, SR NO. 2B47870103</t>
  </si>
  <si>
    <t>Actuators for 500 HP pump no.3</t>
  </si>
  <si>
    <t>3-kw, SR NO. 2B47870102</t>
  </si>
  <si>
    <t>Cable for 900 HP pump no.1</t>
  </si>
  <si>
    <t>3.3kv, 3 Core X 185 sq.mm,aluninium XLPE cable</t>
  </si>
  <si>
    <t>Cable for 900 HP pump no.2</t>
  </si>
  <si>
    <t>Cable for 900 HP pump no.3</t>
  </si>
  <si>
    <t>3.3kv, 3Core X 95 sq.mm,aluninium XLPE cable</t>
  </si>
  <si>
    <t>Polycab</t>
  </si>
  <si>
    <t>Cable for 900 HP pump no.4</t>
  </si>
  <si>
    <t>Cable for 900 HP pump no.5</t>
  </si>
  <si>
    <t>3.3kv, 3 Core X 95 sq.mm,aluninium XLPE cable</t>
  </si>
  <si>
    <t>Cable for 900 HP pump no.6</t>
  </si>
  <si>
    <t>Cable for 900 HP pump no.7</t>
  </si>
  <si>
    <t>Cable for 900 HP pump no.8</t>
  </si>
  <si>
    <t>3.3kv, 3CX185 sq.mm,aluninium XLPE cable</t>
  </si>
  <si>
    <t>Cable for 500 HP pump no.1</t>
  </si>
  <si>
    <t>Cable for 500 HP pump no.3</t>
  </si>
  <si>
    <t>Cable for 500 HP pump no.2</t>
  </si>
  <si>
    <t>HT Capacitor panel for 900 HP no.1</t>
  </si>
  <si>
    <t>270 KVR ,3.3 KV, SR NO.P17-529</t>
  </si>
  <si>
    <t xml:space="preserve">Cubicles </t>
  </si>
  <si>
    <t>LT Capacitor panel No.1</t>
  </si>
  <si>
    <t>HT Capacitor panel for 900 HP no.2</t>
  </si>
  <si>
    <t>270 KVR ,3.3 KV, SR NO.P17-530</t>
  </si>
  <si>
    <t>LT Capacitor panel No.2</t>
  </si>
  <si>
    <t>HT Capacitor panel for 900 HP no.3</t>
  </si>
  <si>
    <t>270 KVR ,3.3 KV, SR NO.P17-531</t>
  </si>
  <si>
    <t>LT Capacitor panel No.3</t>
  </si>
  <si>
    <t>HT Capacitor panel for 900 HP no.4</t>
  </si>
  <si>
    <t>270 KVR ,3.3 KV, SR NO.P17-532</t>
  </si>
  <si>
    <t>LT Capacitor panel No.4</t>
  </si>
  <si>
    <t>HT Capacitor panel for 900 HP no.5</t>
  </si>
  <si>
    <t>270 KVR ,3.3 KV, SR NO.P17-533</t>
  </si>
  <si>
    <t>LT Capacitor panel No.5</t>
  </si>
  <si>
    <t>HT Capacitor panel for 900 HP no.6</t>
  </si>
  <si>
    <t>270 KVR ,3.3 KV, SR NO.P17-534</t>
  </si>
  <si>
    <t>LT Capacitor panel No.6</t>
  </si>
  <si>
    <t>HT Capacitor panel for 900 HP no.7</t>
  </si>
  <si>
    <t>270 KVR ,3.3 KV, SR NO.P17-535</t>
  </si>
  <si>
    <t>LT Capacitor panel No.7</t>
  </si>
  <si>
    <t>HT Capacitor No. 1 – 500 HP</t>
  </si>
  <si>
    <t>120 KVR, SR NO. 20826</t>
  </si>
  <si>
    <t>HT Capacitor No. 2 – 500 HP</t>
  </si>
  <si>
    <t>120 KVR, SR NO. 20825</t>
  </si>
  <si>
    <t>HT Capacitor No. 3 – 500 HP</t>
  </si>
  <si>
    <t>120 KVR, SR NO. 20823</t>
  </si>
  <si>
    <t>HT Capacitor No. 4 – 500 HP</t>
  </si>
  <si>
    <t>120 KVR, SR NO. 20827</t>
  </si>
  <si>
    <t>Tie Coupler For 900 HP</t>
  </si>
  <si>
    <t xml:space="preserve"> 3.3 kV H.T Circuit Breaker </t>
  </si>
  <si>
    <t>ABB</t>
  </si>
  <si>
    <t>M/s E-Link Software Technologies</t>
  </si>
  <si>
    <t>B-1/46 For 2022-23</t>
  </si>
  <si>
    <t>accounts@elinktechnologies.net</t>
  </si>
  <si>
    <t>91 -22-26433533/198</t>
  </si>
  <si>
    <t>Redg Office : 50/2365, Vijaydeep CHS Ltd., Opp. MIG Cricket Club, Bandra €, Mumbai 400051 | Branch Office : CS/45, 2nd Floor, Metro Plaza, Behind Metro Junction Mall, Netivali, Kalyan € - 421306</t>
  </si>
  <si>
    <t>H.T VCB Panel For 900HP Pump No.1</t>
  </si>
  <si>
    <t xml:space="preserve"> 3.3 kV H.T Circuit Breaker</t>
  </si>
  <si>
    <t>H.T VCB Panel For 900HP Pump No.2</t>
  </si>
  <si>
    <t>H.T VCB Panel for 900HP Pump No.3</t>
  </si>
  <si>
    <t>H.T VCB Panel for 900HP Pump No.4</t>
  </si>
  <si>
    <t>Incomer for 900HP</t>
  </si>
  <si>
    <t>Bus Coupler for 900HP</t>
  </si>
  <si>
    <t>H.T VCB Panel for 900HP Pump No.5</t>
  </si>
  <si>
    <t>H.T VCB Panel for 900HP Pump No.6</t>
  </si>
  <si>
    <t>H.T VCB Panel for 900HP Pump No.7</t>
  </si>
  <si>
    <t>Spear Panel for 900 HP</t>
  </si>
  <si>
    <t xml:space="preserve">Supply of spear Panel for 900HP </t>
  </si>
  <si>
    <t>H.T VCB Panel for 900HP Pump No.8</t>
  </si>
  <si>
    <t>Level Transmitter For Old Pump House Sump</t>
  </si>
  <si>
    <t>Smart Radar Level Transmitter of Measurement Range 0 - 15 (Bluetooth function for remote Programming)</t>
  </si>
  <si>
    <t>B-1/46 For 2023-24</t>
  </si>
  <si>
    <t xml:space="preserve">Level Transmitter for PAC Dosing Tank No.1 </t>
  </si>
  <si>
    <t>Chemical House</t>
  </si>
  <si>
    <t>Level Transmitter for PAC Dosing Tank No.2</t>
  </si>
  <si>
    <t>Level Transmitter for PAC Dosing Tank No.3</t>
  </si>
  <si>
    <t xml:space="preserve">Level Transmitter for PAC Storage Tank No.1 </t>
  </si>
  <si>
    <t>Level Transmitter for PAC Storage Tank No.2</t>
  </si>
  <si>
    <t>Level Transmitter for PAC Storage Tank No.3</t>
  </si>
  <si>
    <t>Level Transmitter for PAC Storage Tank No.4</t>
  </si>
  <si>
    <t>Level Transmitter for Recurculation Pump</t>
  </si>
  <si>
    <t>Pressure Transmitter for 900 HP Pump No.1</t>
  </si>
  <si>
    <t>Smart Pressure transmitter with Snubber and two valve manifold of range 16</t>
  </si>
  <si>
    <t>Pressure Transmitter for 900 HP Pump No.2</t>
  </si>
  <si>
    <t>Pressure Transmitter for 900 HP Pump No.3</t>
  </si>
  <si>
    <t>SR NO. N1S72610118923</t>
  </si>
  <si>
    <t>Pressure Transmitter for 900 HP Pump No.4</t>
  </si>
  <si>
    <t>SR NO. N1S72610118918</t>
  </si>
  <si>
    <t>Pressure Transmitter for 900 HP Pump No.5</t>
  </si>
  <si>
    <t>SR NO. N1S70119111794</t>
  </si>
  <si>
    <t>Pressure Transmitter for 900 HP Pump No.6</t>
  </si>
  <si>
    <t>SR NO. N1S30910115689</t>
  </si>
  <si>
    <t>Pressure Transmitter for 900 HP Pump No.7</t>
  </si>
  <si>
    <t>Pressure Transmitter for 900 HP Pump No.8</t>
  </si>
  <si>
    <t>Pressure Transmitter</t>
  </si>
  <si>
    <t>Header for Thane</t>
  </si>
  <si>
    <t>Header for Bhiwandi</t>
  </si>
  <si>
    <t>Pressure Transmitter for 500 HP Pump No.1</t>
  </si>
  <si>
    <t>SR NO. N1S70110111790</t>
  </si>
  <si>
    <t>Pressure Transmitter for 500 HP Pump No.2</t>
  </si>
  <si>
    <t>SR NO. N1S70110111838</t>
  </si>
  <si>
    <t>Pressure Transmitter for 500 HP Pump No.3</t>
  </si>
  <si>
    <t>SR NO. N1S70110111711</t>
  </si>
  <si>
    <t>Delivery line of Thane set No.1</t>
  </si>
  <si>
    <t>600 mm dia, 8.2 meter</t>
  </si>
  <si>
    <t>Delivery line of Thane set No.2</t>
  </si>
  <si>
    <t>600 mm dia, 5.6 meter</t>
  </si>
  <si>
    <t>Delivery line of Thane set No.3</t>
  </si>
  <si>
    <t>Delivery line of Thane set No.4</t>
  </si>
  <si>
    <t>Delivery line of Thane set No.5</t>
  </si>
  <si>
    <t>Delivery line of Thane set No.6</t>
  </si>
  <si>
    <t>Delivery line of Thane set No.7</t>
  </si>
  <si>
    <t>Delivery line of Thane set No.8</t>
  </si>
  <si>
    <t>Delivery line of Bhiwandi set No.1</t>
  </si>
  <si>
    <t>Delivery line of Bhiwandi set No.3</t>
  </si>
  <si>
    <t xml:space="preserve">External Electrification arrangement with high Galvanized octagonal poles </t>
  </si>
  <si>
    <t>WTP temghar</t>
  </si>
  <si>
    <t>111, Vardhaman Shopping center, Near shree chatrapati shivaji mahararaj stachue, Manapada Road Dombivali E 421201</t>
  </si>
  <si>
    <t>Supplying and erecting LED Flood Light fitting of Size with 56/48 W lux level with transparant lens LED/ODF</t>
  </si>
  <si>
    <t>Electrical Fitting</t>
  </si>
  <si>
    <t>Not Found</t>
  </si>
  <si>
    <t>Pavanputra Enterprises</t>
  </si>
  <si>
    <t>B-1/56 For 2013-14</t>
  </si>
  <si>
    <t>2013-14</t>
  </si>
  <si>
    <t>MS gate valve , size- 1500x1500</t>
  </si>
  <si>
    <t>Click Pic</t>
  </si>
  <si>
    <t>Bridge assembly for CLF no.1</t>
  </si>
  <si>
    <t>Bridge assembly for CLF no.2</t>
  </si>
  <si>
    <t>Bridge assembly for CLF no.3</t>
  </si>
  <si>
    <t>Bridge assembly for CLF no.4</t>
  </si>
  <si>
    <t>Motor for CLF bridge no.1</t>
  </si>
  <si>
    <t>Motor for driving bridge</t>
  </si>
  <si>
    <t>Motor for CLF bridge no.2</t>
  </si>
  <si>
    <t>Motor for CLF bridge no.3</t>
  </si>
  <si>
    <t>Motor for CLF bridge no.4</t>
  </si>
  <si>
    <t xml:space="preserve">Flocculator for CLF no.1 with Gear box </t>
  </si>
  <si>
    <t>(sr no. 212408730,(sr no. 21240875),(sr no. 21240871),(sr no. 21240872)</t>
  </si>
  <si>
    <t xml:space="preserve">Flocculator for CLF no.2 with Gear box </t>
  </si>
  <si>
    <t>radicon</t>
  </si>
  <si>
    <t>GREAVES</t>
  </si>
  <si>
    <t>Electrical panel for flocculator for CLF no.1</t>
  </si>
  <si>
    <t>Electrical panel for flocculator for CLF no.2</t>
  </si>
  <si>
    <t>Electrical panel for flocculator for CLF no.3</t>
  </si>
  <si>
    <t>Electrical panel for flocculator for CLF no.4</t>
  </si>
  <si>
    <t>Slip ring for CLF no.2</t>
  </si>
  <si>
    <t>drain valve for CLF no.1</t>
  </si>
  <si>
    <t>drain valve for CLF no.2</t>
  </si>
  <si>
    <t>drain valve for CLF no.3</t>
  </si>
  <si>
    <t>drain valve for CLF no.4</t>
  </si>
  <si>
    <t>Turbidity meter for CLF no.1</t>
  </si>
  <si>
    <t>rosemount analytical</t>
  </si>
  <si>
    <t>Damage</t>
  </si>
  <si>
    <t>Turbidity meter for CLF no.2</t>
  </si>
  <si>
    <t>Turbidity meter for CLF no.3</t>
  </si>
  <si>
    <t>Turbidity meter for CLF no.4</t>
  </si>
  <si>
    <t xml:space="preserve">Main L.T PANEL </t>
  </si>
  <si>
    <t>RUSO AGRO projet pvt ltd</t>
  </si>
  <si>
    <t xml:space="preserve">Machine Room </t>
  </si>
  <si>
    <t>Air blower set No 1</t>
  </si>
  <si>
    <t>Air blower set No 2</t>
  </si>
  <si>
    <t>Air blower panel No.1</t>
  </si>
  <si>
    <t>Electrosmooth starter, 75 HP, 56.25 KW,sr No.EST/02-2K15/007</t>
  </si>
  <si>
    <t>Air blower panel No.2</t>
  </si>
  <si>
    <t>Electrosmooth starter, 75 HP, 56.25 KW,sr No.EST/02-2K15/008</t>
  </si>
  <si>
    <t>Wash water pump No.1</t>
  </si>
  <si>
    <t>Wash water pump No.2</t>
  </si>
  <si>
    <t>Wash water panel No.1</t>
  </si>
  <si>
    <t>50 HP auto transformer starter</t>
  </si>
  <si>
    <t>Wash water panel No.2</t>
  </si>
  <si>
    <t>Pre chlorine pump</t>
  </si>
  <si>
    <t>sr No.A23APK000092,head 46,7.5HP</t>
  </si>
  <si>
    <t>Kirloskar</t>
  </si>
  <si>
    <t>sr No.A23APK000168,head 46,7.5HP</t>
  </si>
  <si>
    <t>Post chlorine pump</t>
  </si>
  <si>
    <t>sr No. A4APK001102,head 46,7.5HP</t>
  </si>
  <si>
    <t>sr No.A23APK000357,head 46,7.5HP</t>
  </si>
  <si>
    <t>Service water pump No.1</t>
  </si>
  <si>
    <t>Service water pump No.2</t>
  </si>
  <si>
    <t>EOT Crane</t>
  </si>
  <si>
    <t>EOT Crane 10 TON</t>
  </si>
  <si>
    <t>ARDEE</t>
  </si>
  <si>
    <t>Crane</t>
  </si>
  <si>
    <t>NRV for wash water pump No.1</t>
  </si>
  <si>
    <t>Durga</t>
  </si>
  <si>
    <t>NRV for wash water pump No.2</t>
  </si>
  <si>
    <t>sluice valve for wash water pump No.1</t>
  </si>
  <si>
    <t>For inlet Valve</t>
  </si>
  <si>
    <t>sluice valve for wash water pump No.1 For Inlet Valve</t>
  </si>
  <si>
    <t>For Outlet Valve</t>
  </si>
  <si>
    <t>sluice valve for wash water pump No.1 for outlet valve</t>
  </si>
  <si>
    <t>sluice valve for wash water pump No.2</t>
  </si>
  <si>
    <t>sluice valve for wash water pump No.2 Inlet Valve</t>
  </si>
  <si>
    <t>sluice valve for wash water pump No.2 Outlet Valve</t>
  </si>
  <si>
    <t>Sluice valve for air blower set No.1</t>
  </si>
  <si>
    <t>For Air blower set No.1</t>
  </si>
  <si>
    <t>Sluice valve for air blower set No.2</t>
  </si>
  <si>
    <t>For air blower Set No.2</t>
  </si>
  <si>
    <t xml:space="preserve">LED lights </t>
  </si>
  <si>
    <t xml:space="preserve">DESIGNING,MANUFACTURING,SUPPLYING and COMMISSIONING 5 TONNE CAPACITY EOT CRANE AT CHLORINE HOUSE and 2 TONNE CAPACITY CHAIN HOIST AT FLASH MIXER,WTP TEMGHAR </t>
  </si>
  <si>
    <t>Suvas Electricals</t>
  </si>
  <si>
    <t>B-1/14 For 2014-15</t>
  </si>
  <si>
    <t>suvaselectricals@gmail.com</t>
  </si>
  <si>
    <t>Jaydeep Emphasis Unit No. 405, Opp. Punjab National Bank, Near Datta Mandir, Mulund Wagle Check, Thane. </t>
  </si>
  <si>
    <t>2014-15</t>
  </si>
  <si>
    <t xml:space="preserve">B-1/17 For 2017-18 </t>
  </si>
  <si>
    <t>2017-18</t>
  </si>
  <si>
    <t>Chlorine leak panel</t>
  </si>
  <si>
    <t xml:space="preserve">control panel for newtrilizer </t>
  </si>
  <si>
    <t>Ladder</t>
  </si>
  <si>
    <t>MOTOR</t>
  </si>
  <si>
    <t>CG POWER AND INDUSTRIAL SOLUTION LTD</t>
  </si>
  <si>
    <t>clorination pump</t>
  </si>
  <si>
    <t>TOSS PUMP</t>
  </si>
  <si>
    <t>Sofa</t>
  </si>
  <si>
    <t>Godrej</t>
  </si>
  <si>
    <t>Bhagirath Interiors</t>
  </si>
  <si>
    <t>Furniture and Fixture</t>
  </si>
  <si>
    <t>bhagirathinteriors@gmail.com</t>
  </si>
  <si>
    <t>Manpada junction, Opp Titan Hospital, G.B Road, Thane(W) 400607</t>
  </si>
  <si>
    <t>1 Seater sofa</t>
  </si>
  <si>
    <t xml:space="preserve">Air conditioner </t>
  </si>
  <si>
    <t>Bluestar</t>
  </si>
  <si>
    <t>Dining table</t>
  </si>
  <si>
    <t>Glass dining table , 6feet long and 2.5 feet width</t>
  </si>
  <si>
    <t>godrej</t>
  </si>
  <si>
    <t>Rest House (Main Hall)</t>
  </si>
  <si>
    <t>0162-18/19, 0165-18/19</t>
  </si>
  <si>
    <t>Dining table chairs</t>
  </si>
  <si>
    <t>wooden chairs for dining table</t>
  </si>
  <si>
    <t>BLUESTAR SPLIT AC ,1.5 TON</t>
  </si>
  <si>
    <t>Epson Projector</t>
  </si>
  <si>
    <t>Projector</t>
  </si>
  <si>
    <t>Epson</t>
  </si>
  <si>
    <t>Green apple compunet</t>
  </si>
  <si>
    <t>Computer</t>
  </si>
  <si>
    <t>GAC-6000/2023-24</t>
  </si>
  <si>
    <t>computechgreen@gmail.com</t>
  </si>
  <si>
    <t>9022260222/9594248270</t>
  </si>
  <si>
    <t>Shop No.1,2 &amp; 3, Gajanan Commercial Complex, Datta Mandir RD, Thane west 400601</t>
  </si>
  <si>
    <t>Celling fan</t>
  </si>
  <si>
    <t>Supply of Ceiling Fan</t>
  </si>
  <si>
    <t>crompton</t>
  </si>
  <si>
    <t>Refrigerator</t>
  </si>
  <si>
    <t>Refrigerator videocon</t>
  </si>
  <si>
    <t>Videocon</t>
  </si>
  <si>
    <t>steel cupboard</t>
  </si>
  <si>
    <t>5.11 feet length, 2.9 feet width</t>
  </si>
  <si>
    <t xml:space="preserve">Godrej </t>
  </si>
  <si>
    <t>Classic Enterprises</t>
  </si>
  <si>
    <t>007/2019-20</t>
  </si>
  <si>
    <t xml:space="preserve">Steel table </t>
  </si>
  <si>
    <t>6.2 feet length, 3.2 feet width</t>
  </si>
  <si>
    <t>Speaker</t>
  </si>
  <si>
    <t>Artis BT600 multimedia trolley speaker</t>
  </si>
  <si>
    <t>Artis</t>
  </si>
  <si>
    <t>GAC-9044/2023-24</t>
  </si>
  <si>
    <t>wooden cupboard</t>
  </si>
  <si>
    <t>wooden Cupboard 2 Door (6.0 feet length, 2.9 feet width)</t>
  </si>
  <si>
    <t>Rest house(Room.no.1)</t>
  </si>
  <si>
    <t>Wooden cupboard</t>
  </si>
  <si>
    <t>7.2 feet length, 5.2 feet width</t>
  </si>
  <si>
    <t>Wooden Bed</t>
  </si>
  <si>
    <t>wodden chair</t>
  </si>
  <si>
    <t>Rest house(Room.no.2)</t>
  </si>
  <si>
    <t xml:space="preserve">geyser </t>
  </si>
  <si>
    <t>bajaj</t>
  </si>
  <si>
    <t xml:space="preserve">Gyser </t>
  </si>
  <si>
    <t>mattress and pillow</t>
  </si>
  <si>
    <t>mattress and 2 pillow</t>
  </si>
  <si>
    <t>Television set</t>
  </si>
  <si>
    <t>Rest house(Room.no.4)</t>
  </si>
  <si>
    <t>Television Set</t>
  </si>
  <si>
    <t>Plastic chair</t>
  </si>
  <si>
    <t>neelkamal</t>
  </si>
  <si>
    <t xml:space="preserve">wooden bed </t>
  </si>
  <si>
    <t>wooden desk small</t>
  </si>
  <si>
    <t>1.3 feet length, 1.2 feet width</t>
  </si>
  <si>
    <t>Wooden Desk Small</t>
  </si>
  <si>
    <t>Emperia</t>
  </si>
  <si>
    <t>Rest house(Room.no.3)</t>
  </si>
  <si>
    <t xml:space="preserve">Supply of 3 seater sofa brown color Provided at rest House (Room No.3) </t>
  </si>
  <si>
    <t>3 seater sofa</t>
  </si>
  <si>
    <t>wooden desk</t>
  </si>
  <si>
    <t>cushion chair</t>
  </si>
  <si>
    <t>1 seater cushion chair</t>
  </si>
  <si>
    <t>1 seater cushioned chair</t>
  </si>
  <si>
    <t>mini glass table</t>
  </si>
  <si>
    <t>Bajaj</t>
  </si>
  <si>
    <t>wooden Table</t>
  </si>
  <si>
    <t>6.0 feet length, 2.9 feet width</t>
  </si>
  <si>
    <t>tubelight</t>
  </si>
  <si>
    <t>Philips</t>
  </si>
  <si>
    <t>Electric lawn mower</t>
  </si>
  <si>
    <t>sr no.49809,880 RPM,8 HP</t>
  </si>
  <si>
    <t>Rest House Area</t>
  </si>
  <si>
    <t>Rest house (terrace)</t>
  </si>
  <si>
    <t>yes</t>
  </si>
  <si>
    <t>50 HZ,460MM width,sr no.0300089</t>
  </si>
  <si>
    <t>manual lawn mower</t>
  </si>
  <si>
    <t>50-60 HZ, 400W,sr no.0044774</t>
  </si>
  <si>
    <t>makita</t>
  </si>
  <si>
    <t>M/S SACHIN RASAL</t>
  </si>
  <si>
    <t>D1-34 For 2017-18</t>
  </si>
  <si>
    <t>Desktop</t>
  </si>
  <si>
    <t>Supply of All in one Computer of Lenovo NEO 30a</t>
  </si>
  <si>
    <t xml:space="preserve">Lenovo </t>
  </si>
  <si>
    <t>GAC-003800/24-25</t>
  </si>
  <si>
    <t>Lenovo Desktop</t>
  </si>
  <si>
    <t>Printer</t>
  </si>
  <si>
    <t>HP Laserjet P1108 Printer</t>
  </si>
  <si>
    <t>HP</t>
  </si>
  <si>
    <t>GAC-5874/2023-24</t>
  </si>
  <si>
    <t>HP Printer</t>
  </si>
  <si>
    <t>UPS</t>
  </si>
  <si>
    <t>Artis UPS</t>
  </si>
  <si>
    <t>BLUESTAR SPLIT AC ,1 TON</t>
  </si>
  <si>
    <t>Wooden desk</t>
  </si>
  <si>
    <t>5.11 feet length, 2.5 feet width</t>
  </si>
  <si>
    <t>Office Chair</t>
  </si>
  <si>
    <t xml:space="preserve">Supply of Mid Back chair </t>
  </si>
  <si>
    <t>Orbit</t>
  </si>
  <si>
    <t>Bhagirath interiors</t>
  </si>
  <si>
    <t>11-23/24</t>
  </si>
  <si>
    <t>Manpada junction, Opp Titan Hospital, G.B Road, Thane(W) 400610</t>
  </si>
  <si>
    <t>Visitng Cushion Chair</t>
  </si>
  <si>
    <t>Orbit Fix Legged Mesh chair</t>
  </si>
  <si>
    <t>Ceiling Fan</t>
  </si>
  <si>
    <t>Laptop</t>
  </si>
  <si>
    <t xml:space="preserve">Supply of HP 15 S-FR2515TU </t>
  </si>
  <si>
    <t xml:space="preserve">Global Enterprises </t>
  </si>
  <si>
    <t>globalentp13@gmail.com</t>
  </si>
  <si>
    <t>09, Risbud house siddhivinayak shopping center, opp bata showroom near jambhali naka station road, Thane (W) 400601</t>
  </si>
  <si>
    <t>HP Laserjet 1020 Printer</t>
  </si>
  <si>
    <t>104 Rameshwar Co-op Hos. Society</t>
  </si>
  <si>
    <t>GODREJ</t>
  </si>
  <si>
    <t>4.11 feet length, 2.5 feet width</t>
  </si>
  <si>
    <t>3 wooden drawer mini rack</t>
  </si>
  <si>
    <t>Lenovo</t>
  </si>
  <si>
    <t>EPSON L14150 Printer</t>
  </si>
  <si>
    <t>Archies Enterprises</t>
  </si>
  <si>
    <t>AR-22172</t>
  </si>
  <si>
    <t>EPSON Printer</t>
  </si>
  <si>
    <t>B1-23 For 2016-17</t>
  </si>
  <si>
    <t>adarsh@madrecha.com</t>
  </si>
  <si>
    <t>0251 269 3222</t>
  </si>
  <si>
    <t>HEEL NEST BUILDING GROUND FLOOR KATRAP ROAD BADLAPUR Maharashtra</t>
  </si>
  <si>
    <t>2016-17</t>
  </si>
  <si>
    <t>LCD Smart TV big size</t>
  </si>
  <si>
    <t>Samsung</t>
  </si>
  <si>
    <t xml:space="preserve">Wooden desk </t>
  </si>
  <si>
    <t>Cabin no.4</t>
  </si>
  <si>
    <t>Steel Cupboard</t>
  </si>
  <si>
    <t>6.3 feet length, 2.11 feet width</t>
  </si>
  <si>
    <t>Wooden Table</t>
  </si>
  <si>
    <t>Supply of Wooden brown table</t>
  </si>
  <si>
    <t>Lenovo Moniter zebronics CPU</t>
  </si>
  <si>
    <t xml:space="preserve"> GAC-2614/2023-24</t>
  </si>
  <si>
    <t>Lenovo Moniter</t>
  </si>
  <si>
    <t>Office hall</t>
  </si>
  <si>
    <t>LED Smart TV big size</t>
  </si>
  <si>
    <t>sofa 2 seater Brown Color</t>
  </si>
  <si>
    <t>Glass Tea Poy Table</t>
  </si>
  <si>
    <t>glass table</t>
  </si>
  <si>
    <t>M126 MW Printer</t>
  </si>
  <si>
    <t>Clerk Office</t>
  </si>
  <si>
    <t>LG Moniter and Zebronics CPU (sr no.302PMN014975)</t>
  </si>
  <si>
    <t>LG</t>
  </si>
  <si>
    <t>Large Rectangle Table</t>
  </si>
  <si>
    <t>5.11 feet length, 1.6 feet width</t>
  </si>
  <si>
    <t>Table Small Size</t>
  </si>
  <si>
    <t>havells</t>
  </si>
  <si>
    <t>Onida  SPLIT AC ,1 TON</t>
  </si>
  <si>
    <t>Onida</t>
  </si>
  <si>
    <t>Steel Cupboard Large Size</t>
  </si>
  <si>
    <t>Biometric machine</t>
  </si>
  <si>
    <t>ESSL</t>
  </si>
  <si>
    <t>Flow DISPLAY</t>
  </si>
  <si>
    <t>LG Desktop and Zebronics CPU</t>
  </si>
  <si>
    <t>LG Desktop</t>
  </si>
  <si>
    <t>Cushion Chair</t>
  </si>
  <si>
    <t>Battery</t>
  </si>
  <si>
    <t>Microtex 200AH Battery</t>
  </si>
  <si>
    <t xml:space="preserve">luminous </t>
  </si>
  <si>
    <t xml:space="preserve">LED Normal TV Small </t>
  </si>
  <si>
    <t>Steel cupboard</t>
  </si>
  <si>
    <t>Passage</t>
  </si>
  <si>
    <t>Exide Battery</t>
  </si>
  <si>
    <t>Exide</t>
  </si>
  <si>
    <t>Office Equipement</t>
  </si>
  <si>
    <t>UPS Luminious</t>
  </si>
  <si>
    <t>HIKVision</t>
  </si>
  <si>
    <t>rectangle table</t>
  </si>
  <si>
    <t>M.S.S.I.D.C</t>
  </si>
  <si>
    <t>acs.mssidc@maharashtra.gov.in</t>
  </si>
  <si>
    <t>022-22611121</t>
  </si>
  <si>
    <t>18 locker cupboard</t>
  </si>
  <si>
    <t>M.S.S.I.D.C.</t>
  </si>
  <si>
    <t>-</t>
  </si>
  <si>
    <t>Chemist lab</t>
  </si>
  <si>
    <t>LG Monitor and Zebbronics CPU</t>
  </si>
  <si>
    <t>AE/07/19/002</t>
  </si>
  <si>
    <t>Wooden desk medium Size</t>
  </si>
  <si>
    <t>Onida Airconditioner (3-star)</t>
  </si>
  <si>
    <t>Air conditioner Onida</t>
  </si>
  <si>
    <t>MITSUBISHI Airconditioner (3-star)</t>
  </si>
  <si>
    <t>Mitsubishi</t>
  </si>
  <si>
    <t>Air conditioner Mitsibishi</t>
  </si>
  <si>
    <t>Fridge Godrej</t>
  </si>
  <si>
    <t>Blueberry</t>
  </si>
  <si>
    <t>Spectrophotometer</t>
  </si>
  <si>
    <t>Mettler Toledo</t>
  </si>
  <si>
    <t>Khushaboo Scientific Pvt Ltd</t>
  </si>
  <si>
    <t>KSPL/2675/23-24</t>
  </si>
  <si>
    <t>sales@khushbooscientific.com</t>
  </si>
  <si>
    <t>022 4884 4884</t>
  </si>
  <si>
    <t>15th Floor, Jolly Maker Chamber - II, Nariman Point, Mumbai - 400021</t>
  </si>
  <si>
    <t>Jar test machine</t>
  </si>
  <si>
    <t>Digital Weighing balance</t>
  </si>
  <si>
    <t xml:space="preserve">Turbidity meter </t>
  </si>
  <si>
    <t xml:space="preserve">Portable Turbidity meter </t>
  </si>
  <si>
    <t>Sr. No. C231567499</t>
  </si>
  <si>
    <t>PH meter</t>
  </si>
  <si>
    <t>Sr. No. C322216101</t>
  </si>
  <si>
    <t>Seven2Go Polarographic DO Meter S4</t>
  </si>
  <si>
    <t>Sr. No. C341941164</t>
  </si>
  <si>
    <t xml:space="preserve">Flowmeter </t>
  </si>
  <si>
    <t>Flowmeter (raw water)</t>
  </si>
  <si>
    <t>KRONE</t>
  </si>
  <si>
    <t>Recirculation Pump house</t>
  </si>
  <si>
    <t>Hi-Tech Engineers</t>
  </si>
  <si>
    <t>Flowmeter (recirculation)</t>
  </si>
  <si>
    <t>SIEMENS</t>
  </si>
  <si>
    <t>Shivalik Engineering</t>
  </si>
  <si>
    <t>B-1/32 FOR 2017-18</t>
  </si>
  <si>
    <t>star delta panel</t>
  </si>
  <si>
    <t>25 HP star delta panel</t>
  </si>
  <si>
    <t>Sump level panel</t>
  </si>
  <si>
    <t>chain pully</t>
  </si>
  <si>
    <t xml:space="preserve">Standing fan </t>
  </si>
  <si>
    <t>600 mm, 0.80 AMP, sr no. 23/06004</t>
  </si>
  <si>
    <t>80 mm, PN 1.6</t>
  </si>
  <si>
    <t>air valve no.3</t>
  </si>
  <si>
    <t>250 mm, PN 1.6</t>
  </si>
  <si>
    <t>Locate it and click pic</t>
  </si>
  <si>
    <t>sluice valve no.3</t>
  </si>
  <si>
    <t>Outlet Valve</t>
  </si>
  <si>
    <t>M/s Sai Abhimanu MKSS Ltd</t>
  </si>
  <si>
    <t>Actuator</t>
  </si>
  <si>
    <t xml:space="preserve">For Drain Valve </t>
  </si>
  <si>
    <t xml:space="preserve">For Inlet valve </t>
  </si>
  <si>
    <t>B-1/37 For 2012-13</t>
  </si>
  <si>
    <t>2012-13</t>
  </si>
  <si>
    <t>FILTER BED NO 1</t>
  </si>
  <si>
    <t>Manual Filteration System</t>
  </si>
  <si>
    <t>Inlet Valve</t>
  </si>
  <si>
    <t>Outlet Valve Actuators (sr no. 2154201732-2344)</t>
  </si>
  <si>
    <t>Wash Water Valve</t>
  </si>
  <si>
    <t>for Wash Water Valve (sr no. 2154204732-2095)</t>
  </si>
  <si>
    <t>Drain Valve</t>
  </si>
  <si>
    <t>Sluice Valve 450 mm</t>
  </si>
  <si>
    <t>Nozzles</t>
  </si>
  <si>
    <t>Under Water or Sand</t>
  </si>
  <si>
    <t>Air valve</t>
  </si>
  <si>
    <t>Sluice Valve 250 mm (sr no. TOS 192) (PN 1.6)</t>
  </si>
  <si>
    <t>DVPL (PN 1.6)</t>
  </si>
  <si>
    <t>FILTER BED NO 2</t>
  </si>
  <si>
    <t>FILTER BED NO 2 [WITH NOZZLES]</t>
  </si>
  <si>
    <t>For Inlet valve</t>
  </si>
  <si>
    <t>Outlet Valve Actuators (sr no. 21542017T32-2034)</t>
  </si>
  <si>
    <t>for Wash Water Valve</t>
  </si>
  <si>
    <t>For Drain Valve  (sr no. 21542017T32 -2035)</t>
  </si>
  <si>
    <t>FILTER BED NO 3</t>
  </si>
  <si>
    <t>FILTER BED NO 3 [WITHOUT NOZZLES]</t>
  </si>
  <si>
    <t>Outlet Valve Actuators Sr. No. 5188214001-07</t>
  </si>
  <si>
    <t>Sluice Valve 250 mm</t>
  </si>
  <si>
    <t>FILTER BED NO 4</t>
  </si>
  <si>
    <t>FILTER BED NO 4 [WITH NOZZLES]</t>
  </si>
  <si>
    <t>Outlet Valve Actuators Sr No. 5188214001-08)</t>
  </si>
  <si>
    <t>for Wash Water Valve (sr no. 14AI-3911)</t>
  </si>
  <si>
    <t>For Drain Valve  (sr no.14AI-38879)</t>
  </si>
  <si>
    <t>Sluice Valve 250 mm (sr no. TOS 181)</t>
  </si>
  <si>
    <t>FILTER BED NO 5</t>
  </si>
  <si>
    <t>FILTER BED NO 5 [WITH NOZZLES]</t>
  </si>
  <si>
    <t>Outlet Valve Actuators Sr. No 5188214001-40)</t>
  </si>
  <si>
    <t>Sluice Valve 450 mm with Actuator</t>
  </si>
  <si>
    <t>for Drain Valve</t>
  </si>
  <si>
    <t>FILTER BED NO 6</t>
  </si>
  <si>
    <t>FILTER BED NO 6 [WITH NOZZLES]</t>
  </si>
  <si>
    <t>For Inlet valve , 2.5KW ,sr no. 14A1-38890</t>
  </si>
  <si>
    <t>Butterfly valve for 450 mm</t>
  </si>
  <si>
    <t>for Wash Water Valve,2.5KW ,sr no. 14A1-38880</t>
  </si>
  <si>
    <t>FILTER BED NO 7</t>
  </si>
  <si>
    <t>FILTER BED NO 7 [WITH NOZZLES]</t>
  </si>
  <si>
    <t>For Inlet valve , 2.5KW ,sr no. 14A1-</t>
  </si>
  <si>
    <t>Butterfly valve for 500 mm</t>
  </si>
  <si>
    <t>For Wash water Valve, 2.5KW ,sr no. 14A1-38875</t>
  </si>
  <si>
    <t>For Drain Valve ,2.5KW ,sr no. 14A1-38893</t>
  </si>
  <si>
    <t>FILTER BED NO 8</t>
  </si>
  <si>
    <t>FILTER BED NO 8 [WITHOUT NOZZLES]</t>
  </si>
  <si>
    <t>Outlet Valve Actuators Sr. 5188214001-15</t>
  </si>
  <si>
    <t>FILTER BED NO 9</t>
  </si>
  <si>
    <t>FILTER BED NO 9 [WITHOUT NOZZLES]</t>
  </si>
  <si>
    <t>Outlet Valve Actuators Sr. No.5188214001-10</t>
  </si>
  <si>
    <t>FILTER BED NO 10</t>
  </si>
  <si>
    <t>FILTER BED NO 10 [WITH NOZZLES]</t>
  </si>
  <si>
    <t>Outlet Valve Actuators Sr. No. 5188214001-23</t>
  </si>
  <si>
    <t>FILTER BED NO 11</t>
  </si>
  <si>
    <t>FILTER BED NO 11 [WITH NOZZLES]</t>
  </si>
  <si>
    <t>For Inlet valve, 2.5KW ,sr no. 14A1-38904</t>
  </si>
  <si>
    <t>For Drain Valve, 2.5KW ,sr no. 14A1-38807</t>
  </si>
  <si>
    <t>FILTER BED NO 12</t>
  </si>
  <si>
    <t>FILTER BED NO 12 [WITH NOZZLES]</t>
  </si>
  <si>
    <t>For Inlet valve , 2.5KW ,sr no. 14A1-38905</t>
  </si>
  <si>
    <t>Outlet Valve Actuators sr. No. 5188214001-33</t>
  </si>
  <si>
    <t>Outlet Valve Actuators Sr. No. 7829-002)</t>
  </si>
  <si>
    <t>Outlet Valve Actuators Sr. No. 7829-004)</t>
  </si>
  <si>
    <t>Outlet Valve Actuators 7829-3001</t>
  </si>
  <si>
    <t>for Wash Water Valve, 2.5kw, sr no. 14A1-38900</t>
  </si>
  <si>
    <t>For Air Valve Sr. no 7829-A001)</t>
  </si>
  <si>
    <t>For Air Valve Sr. no 7829-A002)</t>
  </si>
  <si>
    <t>For Air Valve Sr. no 7829-A003)</t>
  </si>
  <si>
    <t>For Air Valve Sr. no 7829-A004)</t>
  </si>
  <si>
    <t>FILTER BED NO 13</t>
  </si>
  <si>
    <t>FILTER BED NO 13 [WITHOUT NOZZLES]</t>
  </si>
  <si>
    <t>FILTER BED NO 14</t>
  </si>
  <si>
    <t>FILTER BED NO 14 [WITHOUT NOZZLES]</t>
  </si>
  <si>
    <t>FILTER BED NO 15</t>
  </si>
  <si>
    <t>FILTER BED NO 15 [WITHOUT NOZZLES]</t>
  </si>
  <si>
    <t>FILTER BED NO 16</t>
  </si>
  <si>
    <t>FILTER BED NO 16 [WITH NOZZLES]</t>
  </si>
  <si>
    <t>FILTER BED NO 17</t>
  </si>
  <si>
    <t>FILTER BED NO 17 [WITHOUT NOZZLES]</t>
  </si>
  <si>
    <t>FILTER BED NO 18</t>
  </si>
  <si>
    <t>FILTER BED NO 18 [WITHOUT NOZZLES]</t>
  </si>
  <si>
    <t>FILTER BED NO 19</t>
  </si>
  <si>
    <t>FILTER BED NO 19 [WITHOUT NOZZLES]</t>
  </si>
  <si>
    <t>FILTER BED NO 20</t>
  </si>
  <si>
    <t>FILTER BED NO 20 [WITHOUT NOZZLES]</t>
  </si>
  <si>
    <t>FILTER BED NO 21</t>
  </si>
  <si>
    <t>FILTER BED NO 21 [WITHOUT NOZZLES]</t>
  </si>
  <si>
    <t>FILTER BED NO 22</t>
  </si>
  <si>
    <t>FILTER BED NO 22 [WITHOUT NOZZLES]</t>
  </si>
  <si>
    <t xml:space="preserve">Cupboard </t>
  </si>
  <si>
    <t>Distill Water Heater</t>
  </si>
  <si>
    <t>Sr. No.7655 M BDB 002527 AX 4 ltr/Hr and 3Kw</t>
  </si>
  <si>
    <t>TubeLight</t>
  </si>
  <si>
    <t xml:space="preserve">Steel Rack </t>
  </si>
  <si>
    <t>New Store Room</t>
  </si>
  <si>
    <t xml:space="preserve">No </t>
  </si>
  <si>
    <t xml:space="preserve">Tubelight </t>
  </si>
  <si>
    <t>Box Steel Rack Blue white</t>
  </si>
  <si>
    <t xml:space="preserve">AUTOMATIC POWER FACTOR CORRECTION PANEL </t>
  </si>
  <si>
    <t xml:space="preserve">Wooden Drawers </t>
  </si>
  <si>
    <t>Coffee Table - Cairo</t>
  </si>
  <si>
    <t>Glass Square shape tea poy</t>
  </si>
  <si>
    <t xml:space="preserve">Brown Wooden Drawer </t>
  </si>
  <si>
    <t xml:space="preserve">Brown color Glass Square Tea poy </t>
  </si>
  <si>
    <t>Na</t>
  </si>
  <si>
    <t>Coffee Table - Gayle</t>
  </si>
  <si>
    <t>Tea poy Glass black color (circle shape)</t>
  </si>
  <si>
    <t xml:space="preserve">Tea poy Glass </t>
  </si>
  <si>
    <t>Tea poy Glass black color</t>
  </si>
  <si>
    <t>Tea poy Glass black color circle shape</t>
  </si>
  <si>
    <t>Supply of Desktop Table Medium Size</t>
  </si>
  <si>
    <t>Supply of HP Leser Jet Printer 1108</t>
  </si>
  <si>
    <t>J. P. Services</t>
  </si>
  <si>
    <t>JPS-2025-26/0060</t>
  </si>
  <si>
    <t>contact@jpservices.co.in</t>
  </si>
  <si>
    <t>93213602505/7777090510</t>
  </si>
  <si>
    <t>9/4 Matruchaya Chawl, New Shivaji Nagar, Kalwa, Thane 400605</t>
  </si>
  <si>
    <t>Supply of Wooden bed with Pillow and mattress</t>
  </si>
  <si>
    <t xml:space="preserve">Sluice Valve of Service water Pump No.1 </t>
  </si>
  <si>
    <t>Sluice Valve of Service water Pump No.1 Inlet Valve</t>
  </si>
  <si>
    <t>Sluice Valve of Service water Pump No.2</t>
  </si>
  <si>
    <t>Sluice Valve of Service water Pump No.2 Inlet Valve</t>
  </si>
  <si>
    <t>For Outlet Valve 125 mm PN 1.6</t>
  </si>
  <si>
    <t>Aarko</t>
  </si>
  <si>
    <t>Sluice Valve of TMC Wash water pump</t>
  </si>
  <si>
    <t xml:space="preserve">For outlet Valve 400mm </t>
  </si>
  <si>
    <t xml:space="preserve">NRV for Service water Pump No.1 </t>
  </si>
  <si>
    <t>125 mm PN 1.6</t>
  </si>
  <si>
    <t>NRV for Service water Pump No.2</t>
  </si>
  <si>
    <t>Krishna</t>
  </si>
  <si>
    <t xml:space="preserve">Dismenting Joint </t>
  </si>
  <si>
    <t xml:space="preserve">For Wash water Pump No.1 </t>
  </si>
  <si>
    <t xml:space="preserve">Dismenting Joint  For Wash water Pump No.1 </t>
  </si>
  <si>
    <t>For Wash Water Pump No.2</t>
  </si>
  <si>
    <t>Dismenting Joint for Wash water pump No.2</t>
  </si>
  <si>
    <t>Supply of Microtek Battary charger</t>
  </si>
  <si>
    <t>Microtek</t>
  </si>
  <si>
    <t>Bluestar 3 TON AC</t>
  </si>
  <si>
    <t>Supply of Air Condtioner 1 TON</t>
  </si>
  <si>
    <t>Global Enterprise</t>
  </si>
  <si>
    <t>Mitsubishi 1 TON AC</t>
  </si>
  <si>
    <t>Energy Monitoring Panel</t>
  </si>
  <si>
    <t>Alert Panel</t>
  </si>
  <si>
    <t>Remote Control Panel</t>
  </si>
  <si>
    <t>H.T VCB Panel for 500HP Pump No.1</t>
  </si>
  <si>
    <t>H.T VCB Panel for 500HP Pump No.2</t>
  </si>
  <si>
    <t>H.T VCB Panel for 500HP Pump No.3</t>
  </si>
  <si>
    <t>H.T VCB Panel for 500HP Pump No.4</t>
  </si>
  <si>
    <t>Incomer for 500HP</t>
  </si>
  <si>
    <t>Tie Coupler For 500 HP</t>
  </si>
  <si>
    <t>For Service Water Pump Set No.1</t>
  </si>
  <si>
    <t>Dismenting Joint for Service water pump No.1</t>
  </si>
  <si>
    <t>For Service Water Pump Set No.2</t>
  </si>
  <si>
    <t>Dismenting Joint for Service water pump No.2</t>
  </si>
  <si>
    <t>Fire Extinguiser</t>
  </si>
  <si>
    <t>Shakti Fire Equipment company</t>
  </si>
  <si>
    <t>Pankaj@sfec.in</t>
  </si>
  <si>
    <t>Shop No. 9 Mahaveer Heavens, Nr Agarwal College, Aadharwadi, Kalyan West, 421301</t>
  </si>
  <si>
    <t>Click pic</t>
  </si>
  <si>
    <t>Fire Extinguiser No.1 (6 KG)</t>
  </si>
  <si>
    <t>Fire Extinguiser No.2 (6 KG)</t>
  </si>
  <si>
    <t>Fire Extinguiser No.3 (6 KG)</t>
  </si>
  <si>
    <t>Exhaust Fan</t>
  </si>
  <si>
    <t>Fire Extinguiser No.4 (6 KG)</t>
  </si>
  <si>
    <t>Fire Extinguiser No.5 (6 KG)</t>
  </si>
  <si>
    <t>Fire Extinguiser No.6 (6 KG)</t>
  </si>
  <si>
    <t>Supply of ABC Type Fire Extinguiser 4.5KG Powder</t>
  </si>
  <si>
    <t>Fire Extinguiser No.1 (4.5 KG)</t>
  </si>
  <si>
    <t>Fire Extinguiser No.2 (4.5 KG)</t>
  </si>
  <si>
    <t>Fire Extinguiser No.3 (4.5 KG)</t>
  </si>
  <si>
    <t>Fire Extinguiser No.4 (4.5 KG)</t>
  </si>
  <si>
    <t>White Board</t>
  </si>
  <si>
    <t>Supply of White Board</t>
  </si>
  <si>
    <t xml:space="preserve">Sigma Revolving Chair </t>
  </si>
  <si>
    <t>Supply of Revolving chair</t>
  </si>
  <si>
    <t>Sigma</t>
  </si>
  <si>
    <t>Kasturi steel furniture manufacturing LLP</t>
  </si>
  <si>
    <t>397-22/23</t>
  </si>
  <si>
    <t>kasturisteelfurniture@gmail.com</t>
  </si>
  <si>
    <t>Gala No 23D, 9 Acre, Kothari Compound, Chitalsar Manapada, Thane(W) 400607</t>
  </si>
  <si>
    <t>Visiting Orbit Chair</t>
  </si>
  <si>
    <t xml:space="preserve">Supply of Visiting Chair </t>
  </si>
  <si>
    <t>Kilbum</t>
  </si>
  <si>
    <t>H.T VCB Panel for 900HP Pump General Panel</t>
  </si>
  <si>
    <t>sclneir</t>
  </si>
  <si>
    <t>H.T VCB Panel for 900HP Pump No.1</t>
  </si>
  <si>
    <t>Alston</t>
  </si>
  <si>
    <t>H.T VCB Panel for 900HP Pump No.2</t>
  </si>
  <si>
    <t>Old pump house</t>
  </si>
  <si>
    <t>Supply of Fire Extinguiser 4.5KG Type ABC Powder</t>
  </si>
  <si>
    <t>Fire Extinguiser No.5 (4.5 KG)</t>
  </si>
  <si>
    <t>Fire Extinguiser No.6 (4.5 KG)</t>
  </si>
  <si>
    <t>Fire Extinguiser No.7 (6 KG)</t>
  </si>
  <si>
    <t>Fire Extinguiser No.8 (6 KG)</t>
  </si>
  <si>
    <t>Fire Extinguiser No.9 (6 KG)</t>
  </si>
  <si>
    <t>Supply of ABC Type Fire Extinguiser 1KG Powder</t>
  </si>
  <si>
    <t>Fire Extinguiser No.1 (1 KG)</t>
  </si>
  <si>
    <t>Notice Board</t>
  </si>
  <si>
    <t>Supply of Notice Board Blue color (small Size)</t>
  </si>
  <si>
    <t>Notice Board No.1</t>
  </si>
  <si>
    <t>Notice Board No.2</t>
  </si>
  <si>
    <t>Supply of Brown Color Ceiling Fan</t>
  </si>
  <si>
    <t>Supply of Flowmeter</t>
  </si>
  <si>
    <t>Flowmeter</t>
  </si>
  <si>
    <t>P-951</t>
  </si>
  <si>
    <t>CCTV</t>
  </si>
  <si>
    <t>B1/30 For 2019-20</t>
  </si>
  <si>
    <t xml:space="preserve">Plastic Chair </t>
  </si>
  <si>
    <t>Supply of Plastic Chair</t>
  </si>
  <si>
    <t>Neelkamal</t>
  </si>
  <si>
    <t>LG Monitor and Zebronicx CPU</t>
  </si>
  <si>
    <t>Desktop Table</t>
  </si>
  <si>
    <t xml:space="preserve">Brown Color Computer Desktop </t>
  </si>
  <si>
    <t xml:space="preserve">Table </t>
  </si>
  <si>
    <t>Rectangle Table</t>
  </si>
  <si>
    <t xml:space="preserve">Crompton </t>
  </si>
  <si>
    <t>Chlorine Leak Detectation</t>
  </si>
  <si>
    <t xml:space="preserve">Supply of Chlorine Leak Detectation box </t>
  </si>
  <si>
    <t xml:space="preserve">Crane </t>
  </si>
  <si>
    <t>Tubelight</t>
  </si>
  <si>
    <t>Wooden Drawer with 2 compartment</t>
  </si>
  <si>
    <t>Supply of Neelkamal Plastic chair</t>
  </si>
  <si>
    <t>527-24-25</t>
  </si>
  <si>
    <t>Gala No 23D Acre, Kothari Compound, Chitalsar Manapada, Thane(W) 400607</t>
  </si>
  <si>
    <t>Dustbin</t>
  </si>
  <si>
    <t>Supply of 120 Liter Dustbin</t>
  </si>
  <si>
    <t>404-25/25</t>
  </si>
  <si>
    <t>Emperia 1 TON AC</t>
  </si>
  <si>
    <t>Air conditioner</t>
  </si>
  <si>
    <t xml:space="preserve">Sofa </t>
  </si>
  <si>
    <t>3 Seater Cushioned Sofa</t>
  </si>
  <si>
    <t>Wooden Cupboard</t>
  </si>
  <si>
    <t>2 door Wooden Cupboard (6.0 feet length, 2.9 feet width)</t>
  </si>
  <si>
    <t>2 door Wooden Cupboard</t>
  </si>
  <si>
    <t>2 door Wooden Cupboard With Mirror</t>
  </si>
  <si>
    <t xml:space="preserve">Supply of Gyser </t>
  </si>
  <si>
    <t>Supply of Sigma Revolving Chair</t>
  </si>
  <si>
    <t xml:space="preserve">Desktop Table </t>
  </si>
  <si>
    <t>Supply of 2 Door Steel Godrej Cupboard</t>
  </si>
  <si>
    <t>0171-18/19</t>
  </si>
  <si>
    <t>Supply of 2 Door Steel Cupboard</t>
  </si>
  <si>
    <t>Godrej and Boys mfg Co Ltd</t>
  </si>
  <si>
    <t>31J/12000010</t>
  </si>
  <si>
    <t>info@godrej.com</t>
  </si>
  <si>
    <t>022 6796 5656</t>
  </si>
  <si>
    <t>2nd Floor, Eternity Mall, LBS Marg, Near Teen Haath Naka, Thane - 400601</t>
  </si>
  <si>
    <t>Alum Transfer Pump no.3</t>
  </si>
  <si>
    <t>Alum Transfer Pump no.4</t>
  </si>
  <si>
    <t xml:space="preserve">Dewatering Pump </t>
  </si>
  <si>
    <t>Dewatering Pump</t>
  </si>
  <si>
    <t>Main LT Panel</t>
  </si>
  <si>
    <t xml:space="preserve">Supply of Main LT Panel </t>
  </si>
  <si>
    <t>Alum Dosing Tank No.1</t>
  </si>
  <si>
    <t>Alum Dosing Tank No.2</t>
  </si>
  <si>
    <t>Alum Dosing Tank No.3</t>
  </si>
  <si>
    <t>Alum Agitator No.1</t>
  </si>
  <si>
    <t>Alum Agitator No.2</t>
  </si>
  <si>
    <t>Alum Agitator No.3</t>
  </si>
  <si>
    <t>Saturation/Stock Tank No.1</t>
  </si>
  <si>
    <t>Saturation/Stock Tank No.2</t>
  </si>
  <si>
    <t>Saturation/Stock Tank No.3</t>
  </si>
  <si>
    <t>Saturation/Stock Tank No.4</t>
  </si>
  <si>
    <t>M/s Achala Enginnering and Electronics</t>
  </si>
  <si>
    <t>achalaee@gamil.com</t>
  </si>
  <si>
    <t>8652270219/9819007193</t>
  </si>
  <si>
    <t>(Sr. No. 104100 CG 01) upward opening &amp; self-contained fabricated open channel SS Sluice Water gate</t>
  </si>
  <si>
    <t>Laxmi Civil Engineering Services Pvt. Ltd</t>
  </si>
  <si>
    <t>laxmikop@gmail.com</t>
  </si>
  <si>
    <t xml:space="preserve">C. S No. 1031/K2, E ward, 3rd Floor, Sterling Tower, Gavat Mandal, shahapuri, kolhapur </t>
  </si>
  <si>
    <t>(Sr. No. 1041000 CG 02) upward opening &amp; self-contained fabricated open channel SS Sluice Water gate</t>
  </si>
  <si>
    <t>MH/STEM/23-24/01</t>
  </si>
  <si>
    <t>Online PH Meter with PH Sensor PC1R1A Sr. No. PH2311110</t>
  </si>
  <si>
    <t>Tie Coupler For 900 HP (Thane Side)</t>
  </si>
  <si>
    <t>H.T VCB Panel For 900HP Pump No.1 (Thane Side)</t>
  </si>
  <si>
    <t>H.T VCB Panel For 900HP Pump No.2 (Thane Side)</t>
  </si>
  <si>
    <t>H.T VCB Panel for 900HP Pump No.3 (Thane Side)</t>
  </si>
  <si>
    <t>H.T VCB Panel for 900HP Pump No.4 (Thane Side)</t>
  </si>
  <si>
    <t>Incomer for 900HP (Thane Side)</t>
  </si>
  <si>
    <t>Bus Coupler for 900HP (Thane Side)</t>
  </si>
  <si>
    <t>H.T VCB Panel for 900HP Pump No.8 (Thane Side)</t>
  </si>
  <si>
    <t>H.T VCB Panel for 900HP Pump No.5 (Bhiwandi Side)</t>
  </si>
  <si>
    <t>H.T VCB Panel for 900HP Pump No.6 (Bhiwandi Side)</t>
  </si>
  <si>
    <t>H.T VCB Panel for 900HP Pump No.7 (Bhiwandi Side)</t>
  </si>
  <si>
    <t>Spear Panel for 900 HP (Bhiwandi Side)</t>
  </si>
  <si>
    <t>Bus Coupler for 900HP (Bhiwandi Side)</t>
  </si>
  <si>
    <t>Chlorine House</t>
  </si>
  <si>
    <t>Office Passage</t>
  </si>
  <si>
    <t>Flash Mixer</t>
  </si>
  <si>
    <t>Rest House</t>
  </si>
  <si>
    <t>Barricade</t>
  </si>
  <si>
    <t>3 PC road Barricade LLDPE high virgin quality with stem logo and name printed</t>
  </si>
  <si>
    <t>04-23/24</t>
  </si>
  <si>
    <t>Manpada junction, Opp Titan Hospital, G.B Road, Thane(W) 400609</t>
  </si>
  <si>
    <t>B-1/14 For 2019-20</t>
  </si>
  <si>
    <t>B-1/46 For 2016-17</t>
  </si>
  <si>
    <t>Supply of Neelkamal Plastic Chair Model No. 2226</t>
  </si>
  <si>
    <t>2025-26</t>
  </si>
  <si>
    <t>2024-25</t>
  </si>
  <si>
    <t>LAS-3003</t>
  </si>
  <si>
    <t>LAS-3004</t>
  </si>
  <si>
    <t>Life Arc Solutions</t>
  </si>
  <si>
    <t>501 Aadeshwar Darshan CHS, Ram Maruti Road, Naupada, Thane 400602</t>
  </si>
  <si>
    <t>M/S CD Infoware</t>
  </si>
  <si>
    <t>91 22 2432 5589</t>
  </si>
  <si>
    <t>225, Prabhadevi Unique Ind. Estate,
Off Veer Savarkar Marg,
Prabhadevi, Mumbai - 400 025</t>
  </si>
  <si>
    <t xml:space="preserve">Supply of Laptop Dell Inspiron 3511 </t>
  </si>
  <si>
    <t>Dell</t>
  </si>
  <si>
    <t>AR-21519</t>
  </si>
  <si>
    <t xml:space="preserve">Metal Office Table </t>
  </si>
  <si>
    <t>Tiny Table</t>
  </si>
  <si>
    <t>Supply of Metal Table 4x2</t>
  </si>
  <si>
    <t>Wooden Table 4 x 2</t>
  </si>
  <si>
    <t>Supply of Wooden Table 4.5 x 2.5 Heavy</t>
  </si>
  <si>
    <t>wooden chair</t>
  </si>
  <si>
    <t>3 seater sofa No.1</t>
  </si>
  <si>
    <t>3 seater sofa No.2</t>
  </si>
  <si>
    <t>3 seater sofa No.3</t>
  </si>
  <si>
    <t>3 Seater Sofa No.1</t>
  </si>
  <si>
    <t>3 Seater Sofa No.2</t>
  </si>
  <si>
    <t>3 Seater Sofa No.3</t>
  </si>
  <si>
    <t>2012-11</t>
  </si>
  <si>
    <t>Sigma PLB Table</t>
  </si>
  <si>
    <t>Supply of Sigma PLB Table 5x2.5</t>
  </si>
  <si>
    <t>Basement of New Pump House</t>
  </si>
  <si>
    <t>Fire Extinguiser 6KG Powder No.1</t>
  </si>
  <si>
    <t>M/s Friend's Engineering Corporation, Navi Mumbai</t>
  </si>
  <si>
    <t>B-1/43 2009-10</t>
  </si>
  <si>
    <t xml:space="preserve">450 LT Panel </t>
  </si>
  <si>
    <t>B-1/43 For 2009-10</t>
  </si>
  <si>
    <t>APFC Panel</t>
  </si>
  <si>
    <t>450 Volts Auto Power Factor Correction Panel</t>
  </si>
  <si>
    <t>SITC of Main LT Panel</t>
  </si>
  <si>
    <t>B-1/36 For 2022-23</t>
  </si>
  <si>
    <t>Manaelectric@gmail.com</t>
  </si>
  <si>
    <t>HEET-NEST BUILDING IN FRONT OF HDFC BANK KATRAP ROAD BADLAPUR (EAST) - 421503</t>
  </si>
  <si>
    <t>B-1/23 For 2018-19</t>
  </si>
  <si>
    <t>B-1/32 For 2022-23</t>
  </si>
  <si>
    <t>pH Meter No.1</t>
  </si>
  <si>
    <t>pH Meter No.2</t>
  </si>
  <si>
    <t xml:space="preserve">Online pH Meter </t>
  </si>
  <si>
    <t>Pro Series Transmetter (Sr. No. PH2311110)</t>
  </si>
  <si>
    <t>HACH</t>
  </si>
  <si>
    <t xml:space="preserve">HACH </t>
  </si>
  <si>
    <t>Online Turbidity Meter</t>
  </si>
  <si>
    <t>KPSL/2675/23-24</t>
  </si>
  <si>
    <t>Chlorine Photometer (portable)</t>
  </si>
  <si>
    <t>Sr. No. 23/6349</t>
  </si>
  <si>
    <t>Lovibond</t>
  </si>
  <si>
    <t>Analytical Weighing balance</t>
  </si>
  <si>
    <t>Analytical Balance (Sr no.2744391032)</t>
  </si>
  <si>
    <t>provide and fixing CCTVSurveillance (2 megapixel IP IR Dome Camera)</t>
  </si>
  <si>
    <t>CCTV Dome Camera</t>
  </si>
  <si>
    <t>High Definition 2 MegaPixel IP IR Dome Camera</t>
  </si>
  <si>
    <t>Mankoli MBR</t>
  </si>
  <si>
    <t>M/s Trafitek Solutions Pvt. Ltd. Thane</t>
  </si>
  <si>
    <t>B-1/67 For 2023-24</t>
  </si>
  <si>
    <t xml:space="preserve">Computer </t>
  </si>
  <si>
    <t>Security Cabin</t>
  </si>
  <si>
    <t>Supply of 55" Professional LED Display  with 1920 x 1080 (Full HD) Display Smart TV Samsung</t>
  </si>
  <si>
    <t>Main Gate (Security Cabin)</t>
  </si>
  <si>
    <t>Supply of 32" Professional LED Monitor</t>
  </si>
  <si>
    <t>Main Store</t>
  </si>
  <si>
    <t>Telephone Operator Room</t>
  </si>
  <si>
    <t>Rest House Hall</t>
  </si>
  <si>
    <t>Rest House Kitchen</t>
  </si>
  <si>
    <t>Rest house Front Passage</t>
  </si>
  <si>
    <t>Recirculation Pump House</t>
  </si>
  <si>
    <t>Document Room</t>
  </si>
  <si>
    <t>tsplhq@trafitek.com</t>
  </si>
  <si>
    <t>ZENIA, 3rd Floor, 305, Hiranandani Estate, Next to Arcadia, G.B Road, Thane [West] 400607</t>
  </si>
  <si>
    <t>CCTV Bullet Camera</t>
  </si>
  <si>
    <t>High Definition 2.0 MegaPixel IP Bullet Camera (2560 X 1440 Resolution)</t>
  </si>
  <si>
    <t>Gate No.2</t>
  </si>
  <si>
    <t>Gate No.3</t>
  </si>
  <si>
    <t>Near Gate No.3</t>
  </si>
  <si>
    <t>Transformer Section</t>
  </si>
  <si>
    <t>Near Outdoor Substation road</t>
  </si>
  <si>
    <t>Front of Old Pump House</t>
  </si>
  <si>
    <t>Near Chlorine House Truck Enterance Road</t>
  </si>
  <si>
    <t>Office Entry</t>
  </si>
  <si>
    <t>CLF No.1 - Road Turn</t>
  </si>
  <si>
    <t>CLF Outlet Channel</t>
  </si>
  <si>
    <t>CLF Godown</t>
  </si>
  <si>
    <t>Settle Water channel</t>
  </si>
  <si>
    <t xml:space="preserve">Intake channel </t>
  </si>
  <si>
    <t>CLF no.3 - Road Turn</t>
  </si>
  <si>
    <t>TMC Gate</t>
  </si>
  <si>
    <t>Class IV quarters Road</t>
  </si>
  <si>
    <t>Gate no. 4</t>
  </si>
  <si>
    <t xml:space="preserve">Class IV quarters </t>
  </si>
  <si>
    <t>Pipeline and Bridges</t>
  </si>
  <si>
    <t>HP Laser Jet Printer  -  TB</t>
  </si>
  <si>
    <t>Roof Shade</t>
  </si>
  <si>
    <t>Roof Shade at Mankoli Meter Room, 1st And Final Bill (Doc. 21.02.2018)</t>
  </si>
  <si>
    <t>Mayfair Main Desk +ERU+Pedestal</t>
  </si>
  <si>
    <t>Trident Junior Main Desk  - 2</t>
  </si>
  <si>
    <t>Desktop Computer and mother board</t>
  </si>
  <si>
    <t>Street lights</t>
  </si>
  <si>
    <t xml:space="preserve"> EXTERNAL ELECTRIFICATION ARRANGEMENT WITH HIGH GALVANIZED OCTOGONAL POLES AND 60W LED FLOOD LIGHT FITTING AT MANKOLI MBR</t>
  </si>
  <si>
    <t>Minesh Electronics</t>
  </si>
  <si>
    <t>Shree Ramdeveji MKSS Ltd Ulhasnagar</t>
  </si>
  <si>
    <t>Building</t>
  </si>
  <si>
    <t>002</t>
  </si>
  <si>
    <t>B-1/18 FOR 2018-19</t>
  </si>
  <si>
    <t>B-1/36 FOR 2017-18</t>
  </si>
  <si>
    <t>charu_b123rediffmail.com</t>
  </si>
  <si>
    <t>022-25375007</t>
  </si>
  <si>
    <t xml:space="preserve">Swami darshan shop no.7, Near S.T. Work shop, Khopat, Thane(W) </t>
  </si>
  <si>
    <t xml:space="preserve">Water Cooler </t>
  </si>
  <si>
    <t>Supply of Water Cooler  with RO + UV + UF</t>
  </si>
  <si>
    <t>Bluestart Godreg</t>
  </si>
  <si>
    <t>C.P Engineering CO.</t>
  </si>
  <si>
    <t>c_27121980@rediffmail.com</t>
  </si>
  <si>
    <t>9, Charulata Navare Park, Chinchpada, Ambernath (W), Dist Thane 421505</t>
  </si>
  <si>
    <t>Godown</t>
  </si>
  <si>
    <t>Computer System</t>
  </si>
  <si>
    <t>All in One Computer System</t>
  </si>
  <si>
    <t>Deputy Engineer | Cabin No.1</t>
  </si>
  <si>
    <t xml:space="preserve">Supply of Computer System power supply </t>
  </si>
  <si>
    <t>Fix Legged Orbit visiting chair</t>
  </si>
  <si>
    <t>Bravo</t>
  </si>
  <si>
    <t>Cupboard</t>
  </si>
  <si>
    <t>Supply of Videocon Air conditioner</t>
  </si>
  <si>
    <t>Computer Table/Desk</t>
  </si>
  <si>
    <t>Supply of Orient electric Ceiling Fan</t>
  </si>
  <si>
    <t>Orient Electric</t>
  </si>
  <si>
    <t>Supply of HP Printer</t>
  </si>
  <si>
    <t>Sectional Engineer | Cabin No.2</t>
  </si>
  <si>
    <t>Office chair</t>
  </si>
  <si>
    <t>Kubix</t>
  </si>
  <si>
    <t>Kubix Visiting Chair</t>
  </si>
  <si>
    <t>CCTV Panel</t>
  </si>
  <si>
    <t>Supply of CCTV Panel</t>
  </si>
  <si>
    <t>Slimline</t>
  </si>
  <si>
    <t>Supply of Basic Computer System</t>
  </si>
  <si>
    <t>Cabin No.3</t>
  </si>
  <si>
    <t>Plastic Chair</t>
  </si>
  <si>
    <t>Supply of Neelkmal Plastic chair</t>
  </si>
  <si>
    <t>Store Room</t>
  </si>
  <si>
    <t>Flow Meter</t>
  </si>
  <si>
    <t>Supply of Flow Meter</t>
  </si>
  <si>
    <t>Face Recognition System</t>
  </si>
  <si>
    <t>eSSL</t>
  </si>
  <si>
    <t>Supply of 8 Door Industrial Locker Cupboard</t>
  </si>
  <si>
    <t>Purchase Date/Use Date</t>
  </si>
  <si>
    <t>Supply of Epson L 3150</t>
  </si>
  <si>
    <t>AR-22170</t>
  </si>
  <si>
    <t>Supply of Printer HP M 126 nw</t>
  </si>
  <si>
    <t>GAC-007487/24-25</t>
  </si>
  <si>
    <t>Artis Powersafe 1000ECO UPS (Sr. No. VP062416949AR)</t>
  </si>
  <si>
    <t>Artis Powersafe 1000ECO UPS (Sr. No. VP062416950AR)</t>
  </si>
  <si>
    <t>Artis Powersafe 1000ECO UPS (Sr. No. VP062415873AR)</t>
  </si>
  <si>
    <t>Artis Powersafe 1000ECO UPS (Sr. No. VP06241874AR)</t>
  </si>
  <si>
    <t>Artis Powersafe 1000ECO UPS (Sr. No. VP062417277AR)</t>
  </si>
  <si>
    <t>Artis Powersafe 1000ECO UPS (Sr. No. VP62417177AR)</t>
  </si>
  <si>
    <t>Artis Powersafe 1000ECO UPS (Sr. No. VP062417178AR)</t>
  </si>
  <si>
    <t>2021-22</t>
  </si>
  <si>
    <t>Microtex</t>
  </si>
  <si>
    <t xml:space="preserve">Need to verify </t>
  </si>
  <si>
    <t xml:space="preserve">Inverter with dual Battery </t>
  </si>
  <si>
    <t>M/s Suvas Electricals Thane</t>
  </si>
  <si>
    <t>B--/46 For 2016-17</t>
  </si>
  <si>
    <t xml:space="preserve"> AUTOMATIC POWER FACTOR CORRECTION PANEL  (500KVR SR.No.004)</t>
  </si>
  <si>
    <t>B-1/16 For 2024-25</t>
  </si>
  <si>
    <t>M/s Si-tech System</t>
  </si>
  <si>
    <t>B-</t>
  </si>
  <si>
    <t>Supply of Alert Panel</t>
  </si>
  <si>
    <t>M/s Hi-tech Engineer</t>
  </si>
  <si>
    <t>900 HP Pump Set No.1 &amp; 900 HP Motor for Pump Set No.1</t>
  </si>
  <si>
    <t>kirloskar &amp; Marathon</t>
  </si>
  <si>
    <t>VT Pump 79.3m head, 2340 flow, SR.no.153C822008 &amp; 900 HP,3.3 KV, 3 PH Induction motor, Sr. No. UP182128/1</t>
  </si>
  <si>
    <t>1st Floor, A 112, Bhaveshwar Arcade, LBS Marg, Ghatkopar (W)  400086</t>
  </si>
  <si>
    <t>Contactus@friendsengg.in</t>
  </si>
  <si>
    <t>27578869 &amp; 25386926</t>
  </si>
  <si>
    <t>3, Manisha Co-Op HSG. Society, Vrindavan, Thane 400601</t>
  </si>
  <si>
    <t>hitechnm2@gmail.com</t>
  </si>
  <si>
    <t>90825 92310</t>
  </si>
  <si>
    <t>202, Empress, Plot No. 89, Sector 3, Kopar Khairane, Navi Mumbai - 400709</t>
  </si>
  <si>
    <t>VT Pump 79.3m head, 2340 flow, SR.no.153C822007 &amp; 900 HP,3.3 KV, 3 PH Induction motor, Sr. No.  UPI182137/1</t>
  </si>
  <si>
    <t>900 HP Pump Set No.2 &amp; 900 HP Motor for Pump Set No.2</t>
  </si>
  <si>
    <t>B-146 For 2016-17</t>
  </si>
  <si>
    <t xml:space="preserve"> 3.3 kV H.T Circuit Breaker (Indoor Switch Gear Panel)</t>
  </si>
  <si>
    <t xml:space="preserve"> 3.3 kV H.T Circuit Breaker (Trunking Panel)</t>
  </si>
  <si>
    <t>Valve Actuator Panel</t>
  </si>
  <si>
    <t>Supply of Valve Actuator Panel</t>
  </si>
  <si>
    <t>B-1/16 For 2019-20</t>
  </si>
  <si>
    <t>B-1-46 For 2016-17</t>
  </si>
  <si>
    <t>B-1/43 for 2009-10</t>
  </si>
  <si>
    <t>B-1/46 for 2016-17</t>
  </si>
  <si>
    <t>2500kVA 22kV/3.3kV</t>
  </si>
  <si>
    <t>Urja</t>
  </si>
  <si>
    <t>750 kVA 22kV/0.430kV</t>
  </si>
  <si>
    <t>5000 kVA 22kV/3.3kV</t>
  </si>
  <si>
    <t>B-14 for 2016-17</t>
  </si>
  <si>
    <t>Trunking Panel</t>
  </si>
  <si>
    <t>Incomer No.1</t>
  </si>
  <si>
    <t>Incomer No.2</t>
  </si>
  <si>
    <t>Supply of Incomer 3.3kV 1250A</t>
  </si>
  <si>
    <t>Archived</t>
  </si>
  <si>
    <t>2018-19</t>
  </si>
  <si>
    <t>2009-10</t>
  </si>
  <si>
    <t>NRV for 900 HP No.1</t>
  </si>
  <si>
    <t>NRV for 900 HP No.4</t>
  </si>
  <si>
    <t>NRV for 900 HP No.5</t>
  </si>
  <si>
    <t>NRV for 900 HP No.6</t>
  </si>
  <si>
    <t>B-1/14 For 2022-23</t>
  </si>
  <si>
    <t>M/s Vijay Engineering &amp; Machinery Company, Mumbai</t>
  </si>
  <si>
    <t>Shahsank.shah@vcme.co.in</t>
  </si>
  <si>
    <t>74, Sheriff House, Shahid Bhagatshingh Road, Fort, Mumbai - 400023</t>
  </si>
  <si>
    <t>Prabhodhan</t>
  </si>
  <si>
    <t>Rotok</t>
  </si>
  <si>
    <t>Level Transmitter  (Sump)</t>
  </si>
  <si>
    <t>Transformer</t>
  </si>
  <si>
    <t>Dismantling joint for 900 HP pump set no.4</t>
  </si>
  <si>
    <t>Dismantling joint for 900 HP pump set no.1</t>
  </si>
  <si>
    <t>Dismantling joint for 900 HP pump set no.3</t>
  </si>
  <si>
    <t>Dismantling joint for pump set</t>
  </si>
  <si>
    <t>Dismantling joint for 900 HP pump set no.2</t>
  </si>
  <si>
    <t>Dismantling joint for 900 HP pump set no.5</t>
  </si>
  <si>
    <t>Dismantling joint for 900 HP pump set no.6</t>
  </si>
  <si>
    <t>Dismantling joint for 900 HP pump set no.7</t>
  </si>
  <si>
    <t>Dismantling joint for 900 HP pump set no.8</t>
  </si>
  <si>
    <t>Dismantling joint for 500 HP pump set no.1</t>
  </si>
  <si>
    <t>Dismantling joint for 500 HP pump set no.2</t>
  </si>
  <si>
    <t>Dismantling joint for 500 HP pump set no.3</t>
  </si>
  <si>
    <t>Not Uploaded</t>
  </si>
  <si>
    <t>2 seater sofa (Cushonied Sofa Brown Color)</t>
  </si>
  <si>
    <t>2 seater sofa No.1</t>
  </si>
  <si>
    <t>2 seater sofa No.2</t>
  </si>
  <si>
    <t>1 Seater sofa No.1 &amp; No.2</t>
  </si>
  <si>
    <t>1 Seater sofa No.3</t>
  </si>
  <si>
    <t>wooden bed No.1</t>
  </si>
  <si>
    <t>wooden bed No.2</t>
  </si>
  <si>
    <t>wooden bed No.3</t>
  </si>
  <si>
    <t>wooden bed No.4</t>
  </si>
  <si>
    <t>LG Moniter and Zebronics CPU (sr no.302PMN014976)</t>
  </si>
  <si>
    <t>Sofa Set (3+1+1) &amp; Coffee Table</t>
  </si>
  <si>
    <t>Make Combine Photo</t>
  </si>
  <si>
    <t xml:space="preserve">Trident </t>
  </si>
  <si>
    <t>Bravo High Back Chair &amp; Carbon Black Voila Fabric</t>
  </si>
  <si>
    <t>Supply of Bus Coupler for 900HP (Bhiwandi Side)</t>
  </si>
  <si>
    <t>Supply of Remote Control Panel for submersible pumps</t>
  </si>
  <si>
    <t>B-1/46 for 2016-17 (Pt. II)</t>
  </si>
  <si>
    <t>Supply of Sofa Set (3+1+1) &amp; Coffee Table (As Bill Only for Counting Each Assets Consider Following Assets Its Complex Because They buy set and then it Spread Over)</t>
  </si>
  <si>
    <t xml:space="preserve">Mankoli  </t>
  </si>
  <si>
    <t>Mankoli</t>
  </si>
  <si>
    <t>B-1/36 For 2017-18</t>
  </si>
  <si>
    <t>Custom</t>
  </si>
  <si>
    <t>smpolymer@gmail.com</t>
  </si>
  <si>
    <t>8104458378/8425051255</t>
  </si>
  <si>
    <t>4B/8, Om Sudama C.H.S., Kalwa, Thane - 400605</t>
  </si>
  <si>
    <t>Maharashtra Small Scale Industries Development Corporation Limited (M.S.S.I.D.C)</t>
  </si>
  <si>
    <t xml:space="preserve"> adminmssidc-mh@mah.gov.in</t>
  </si>
  <si>
    <t>Plot No. D-10, Road No. 33 Wagle Indl. Estate, Indira Nagar, thane 400604</t>
  </si>
  <si>
    <t>STEM/SB/422</t>
  </si>
  <si>
    <t>Supply of 6 KG ABC Powder Type Fire Extinguiser</t>
  </si>
  <si>
    <t>STEM/TB/1508</t>
  </si>
  <si>
    <t>Sectional Engineer (Civil) Cabin</t>
  </si>
  <si>
    <t>Visitng Orbit Chair</t>
  </si>
  <si>
    <t>Visitor cushion chair</t>
  </si>
  <si>
    <t>Office Chair [Mid back chair]</t>
  </si>
  <si>
    <t>Visitor Cushion Chair</t>
  </si>
  <si>
    <t>Sectional Engineer (Electrical) Cabin</t>
  </si>
  <si>
    <t>LCD Smart TV Medium size</t>
  </si>
  <si>
    <t>Exide Battery Tabular 12V Inverter Battary</t>
  </si>
  <si>
    <t>Tutis Technologies Pvt Ltd</t>
  </si>
  <si>
    <t xml:space="preserve">Steel cupboard (Major) </t>
  </si>
  <si>
    <t>Size (1980 x 915 x 375 mm)  3 Shelves</t>
  </si>
  <si>
    <t>STEM 1630</t>
  </si>
  <si>
    <t>STEM/TB/1507</t>
  </si>
  <si>
    <t>Supply of Storewel plain with 4 shelf power coated (Big)</t>
  </si>
  <si>
    <t>Supply of Storewel plain with 3 shelf power coated (Big)</t>
  </si>
  <si>
    <t>288-22/23</t>
  </si>
  <si>
    <t xml:space="preserve">Steel cupboard (Minor) </t>
  </si>
  <si>
    <t>Size (1270 x 765 x 440 mm)  3 Shelves</t>
  </si>
  <si>
    <t>STEM/SB/421</t>
  </si>
  <si>
    <t>395-22/23</t>
  </si>
  <si>
    <t>Filter House</t>
  </si>
  <si>
    <t>B-10 Shirine Garden Opp, ITI Road, Aundh, Pune 411007</t>
  </si>
  <si>
    <t>B-1/89 For 2012-13</t>
  </si>
  <si>
    <t>Sluice Valve 450 mm For Inlet Valve</t>
  </si>
  <si>
    <t>KPT Blowers</t>
  </si>
  <si>
    <t>Air blower set No 1 and Motor No.1</t>
  </si>
  <si>
    <t>Air blower set No 2 and Motor No.2</t>
  </si>
  <si>
    <t>Air Blower - Air flow 3600m3/h, 1400 RPM,sr No. 13465 | 75 HP Motor</t>
  </si>
  <si>
    <t>Air flow 3600m3/h, 1400 RPM,sr No. 13464 | 75 HP Motor</t>
  </si>
  <si>
    <t>Back Wash water panel No.1</t>
  </si>
  <si>
    <t>Back Wash water panel No.2</t>
  </si>
  <si>
    <t>Back Wash water pump No.1 and Motor No.1</t>
  </si>
  <si>
    <t>Back Wash water pump No.2 and Motor No.2</t>
  </si>
  <si>
    <t>Pump - Head 32,1460 RPM | Motor - 3 PH induction motor, sr No.NADT102609,50 HP</t>
  </si>
  <si>
    <t>Pump - Sr No.26003,head 32,1460 RPM | Motor -  3 PH induction motor,50 HP</t>
  </si>
  <si>
    <t>400 mm</t>
  </si>
  <si>
    <t>Service water pump No.1 and Motor No.1</t>
  </si>
  <si>
    <t>Service water pump No.2 and Motor No.2</t>
  </si>
  <si>
    <t>End suction type 10 HP Motor 1500 RPM</t>
  </si>
  <si>
    <t>Horizontal End suction Dis - 15m 3/hr 5HP Motor and 1400 RPM</t>
  </si>
  <si>
    <t>Paddle type in Ms construction U-400 50:1 Ratio</t>
  </si>
  <si>
    <t>ETS</t>
  </si>
  <si>
    <t>Bhiwandi Corporation</t>
  </si>
  <si>
    <t>Supply of Custom LT Main Panel</t>
  </si>
  <si>
    <t>B-1/56 For 2007-08</t>
  </si>
  <si>
    <t>VT Pump, 79.3 m head, 2340 flow (Vertical turbine Pump Having Capacity 2376 m3 /Hr at 81 mtr)</t>
  </si>
  <si>
    <t xml:space="preserve">900 HP Oprated on 3300 volts and 980 RPM ,3.3 KV, 3 PH Induction motor </t>
  </si>
  <si>
    <t>64/80 Ch NVR for 64 IP Camera duly erected in provided U rack with wiring Connection</t>
  </si>
  <si>
    <t>Supply of 24U Floor Mount Rack 800x600x1267 mm</t>
  </si>
  <si>
    <t>24 U Floor Mount Rack - CCTV Panel</t>
  </si>
  <si>
    <t>Network Video Recorder (NVR) - CCTV Panel</t>
  </si>
  <si>
    <t>Microtex Battery Tabular 12V Inverter Battary</t>
  </si>
  <si>
    <t xml:space="preserve">Luminouns 2500 VA Inverter </t>
  </si>
  <si>
    <t>Supply of 2500VA Digtial pure sine wave inverter Based on Insulated gate Bipolar Transistor (With Batteries)</t>
  </si>
  <si>
    <t>2500 VA Inverter</t>
  </si>
  <si>
    <t>M/s Power Engineer Corporation, Thane</t>
  </si>
  <si>
    <t>B-1/02 For 2023-24</t>
  </si>
  <si>
    <t>pjj.pec@gmail.com</t>
  </si>
  <si>
    <t>6, Trimurti, Swanand Nagar, Beturkar Pada Kalyan West</t>
  </si>
  <si>
    <t>Inverter LED Batten 20 W tubelight  2yrs Warranty</t>
  </si>
  <si>
    <t xml:space="preserve">LED Street Light 100-110W IP65 &amp; IK07 3 Years Warranty </t>
  </si>
  <si>
    <t xml:space="preserve">Supply of Heavy Duty Exhaust Fan 230V 450mm 1400 RPM </t>
  </si>
  <si>
    <t xml:space="preserve">Supply of Heavy Duty Exhaust Fan 230V 375/380mm 1400 RPM </t>
  </si>
  <si>
    <t>Control Panel (Sump Level Panel)</t>
  </si>
  <si>
    <t>Supply of Control Panel for Submersible Pumps</t>
  </si>
  <si>
    <t>Desgin and Construction of New Pump House</t>
  </si>
  <si>
    <t>Submersile Pump No.1</t>
  </si>
  <si>
    <t>Submersile Pump No.2</t>
  </si>
  <si>
    <t>Submersile Pump No.3</t>
  </si>
  <si>
    <t>Supply of Pump with DN 125 bend PN 10/16 and head  - 16 m</t>
  </si>
  <si>
    <t>STEM25032816</t>
  </si>
  <si>
    <t>sitechsystems3@gmail.com</t>
  </si>
  <si>
    <t>A/3, Santosh CHS, Near Makhamali Talao, LBS Road, Thane (W) 400601</t>
  </si>
  <si>
    <t xml:space="preserve">Supply of AiFace-Mars Linux Based Access Control and time Attendence Terminal </t>
  </si>
  <si>
    <t>B-1/09 For 2023-24</t>
  </si>
  <si>
    <t>Holding Tank</t>
  </si>
  <si>
    <t xml:space="preserve">Supply of Holding Tank 10000 Ltrs Cpaacity  PP+FRVE of 3mm + 9mm </t>
  </si>
  <si>
    <t>15, Darshan Gas compound, Opposite New Englihs School Kalwa, Thane 400605</t>
  </si>
  <si>
    <t>Isolation and Scrubber PP Diaphram type valve</t>
  </si>
  <si>
    <t xml:space="preserve">Supply of 65 mm dia </t>
  </si>
  <si>
    <t xml:space="preserve">Supply of 50 mm dia </t>
  </si>
  <si>
    <t xml:space="preserve">Supply of 25 mm dia </t>
  </si>
  <si>
    <t>3 Phase base mounting direct driven motor, 7.5 HP 415 V, 2800 RPM</t>
  </si>
  <si>
    <t xml:space="preserve">FRP Half HOOD to Cover Tonner </t>
  </si>
  <si>
    <t>Supply of Cover Tonner</t>
  </si>
  <si>
    <t>M/s R.B Krishnani</t>
  </si>
  <si>
    <t>Transmitter</t>
  </si>
  <si>
    <t xml:space="preserve">DP Transmitter + Temrapture Transmitter </t>
  </si>
  <si>
    <t>Supply of Post Chlorination system 60kg/hr  Manual Chlorine gas  Flow set</t>
  </si>
  <si>
    <t>Post Chlorination System No.1</t>
  </si>
  <si>
    <t>Post Chlorination System No.2</t>
  </si>
  <si>
    <t>Pre Chlorination System No.2</t>
  </si>
  <si>
    <t>Pre Chlorination System No.1</t>
  </si>
  <si>
    <t>2007-08</t>
  </si>
  <si>
    <t>900 HP,3.3 KV, 3 PH Induction motor, sr No.</t>
  </si>
  <si>
    <t>Inlet gate for CLF No.1</t>
  </si>
  <si>
    <t>Inlet gate for CLF No.2</t>
  </si>
  <si>
    <t>Inlet gate for CLF No.3</t>
  </si>
  <si>
    <t>Inlet gate for CLF No.4</t>
  </si>
  <si>
    <t>Outlet gate for CLF No.1</t>
  </si>
  <si>
    <t>Outlet gate for CLF No.2</t>
  </si>
  <si>
    <t>Outlet gate for CLF No.3</t>
  </si>
  <si>
    <t>Outlet gate for CLF No.4</t>
  </si>
  <si>
    <t xml:space="preserve">Flocculator for CLF No.3 with Gear box </t>
  </si>
  <si>
    <t>(sr No. 212408770,(sr No. 212408740,(sr No. 21240876)</t>
  </si>
  <si>
    <t xml:space="preserve">Flocculator for CLF No.4 with Gear box </t>
  </si>
  <si>
    <t>3 Phase base mounting direct driven motor, 7.5 HP 415 V, 2800 RPM, sr No.2.20KNE2</t>
  </si>
  <si>
    <t>sr No. 6006,head 10 to 24 mtr,2880 RPM, 3 HP</t>
  </si>
  <si>
    <t>sr No. 6005,head 10 to 24 mtr,2880 RPM, 3 HP</t>
  </si>
  <si>
    <t>Rest house(Room.No.1)</t>
  </si>
  <si>
    <t>Rest house(Room.No.3)</t>
  </si>
  <si>
    <t>Rest house(Room.No.4)</t>
  </si>
  <si>
    <t>Cabin No.4</t>
  </si>
  <si>
    <t>Easy UV (sr No.C306654744)</t>
  </si>
  <si>
    <t>Portable Floc Tester ET730 sr No. 1223/61924</t>
  </si>
  <si>
    <t>Model No.TL 2300, sr No.2299797</t>
  </si>
  <si>
    <t>Model No.2100Q, Sr. No24010D000224.</t>
  </si>
  <si>
    <t>air valve No.1</t>
  </si>
  <si>
    <t>air valve No.2</t>
  </si>
  <si>
    <t>sluice valve No.1</t>
  </si>
  <si>
    <t>sluice valve No.2</t>
  </si>
  <si>
    <t>Rest house(Room.No.2)</t>
  </si>
  <si>
    <t>Alum Transfer Pump No.1</t>
  </si>
  <si>
    <t>Alum Transfer Pump No.2</t>
  </si>
  <si>
    <t>WTP Temghar</t>
  </si>
  <si>
    <t>SS Gate Sluice Water Channel  No.1</t>
  </si>
  <si>
    <t>SS Gate Sluice Water Channel No.2</t>
  </si>
  <si>
    <t>control panel for neutralizer system</t>
  </si>
  <si>
    <t>Base Mounting Direct Driven Motor</t>
  </si>
  <si>
    <t>Supply of Energy Monitoring Panel (IOT Controller with dual RS 485 communication port &amp; integrated mordern for remote communication over cloud)</t>
  </si>
  <si>
    <t>B-1/70 for 2023-24</t>
  </si>
  <si>
    <t>M/s SM Polymers</t>
  </si>
  <si>
    <t>Deputy Engineer (Mech) Cabin</t>
  </si>
  <si>
    <t>Office Balcony</t>
  </si>
  <si>
    <t>Supply of Air Valve for 500 HP 80 mm, PN 1.6, sr.no 7k1252</t>
  </si>
  <si>
    <t>Supply of Air Valve for 500 HP  80 mm, PN 1.6</t>
  </si>
  <si>
    <t xml:space="preserve">Supply of Split type Air Conditioner 3 TON 415 V </t>
  </si>
  <si>
    <t>Damper Valve</t>
  </si>
  <si>
    <t>SS Lateral For Filter Bed No.10</t>
  </si>
  <si>
    <t>SS Lateral For Filter Bed No.16</t>
  </si>
  <si>
    <t>SS Lateral For Filter Bed No.4</t>
  </si>
  <si>
    <t>Supply of SS Lateral (V-wire Under Drain System)</t>
  </si>
  <si>
    <t>Apollo</t>
  </si>
  <si>
    <t>M/s Santaji R. Kadam</t>
  </si>
  <si>
    <t>B-1/11 For 2025-26</t>
  </si>
  <si>
    <t>SS Lateral For Filter Bed No.3</t>
  </si>
  <si>
    <t>M/s Aquatech Corporation</t>
  </si>
  <si>
    <t>B-1/10 For 2023-24</t>
  </si>
  <si>
    <t>santajikadam@yahoo.co.in</t>
  </si>
  <si>
    <t>403, D-Building Kakde City, Karve Nagar Pune 4110552</t>
  </si>
  <si>
    <t>aquatechcorporation07@gmail.com</t>
  </si>
  <si>
    <t>601-A Aditya Residency Pawah, Pune</t>
  </si>
  <si>
    <t>SS Lateral For Filter Bed No.9</t>
  </si>
  <si>
    <t>SS Lateral For Filter Bed No.13</t>
  </si>
  <si>
    <t>SS Lateral For Filter Bed No.14</t>
  </si>
  <si>
    <t>SS Lateral For Filter Bed No.15</t>
  </si>
  <si>
    <t>B-1/41 for 2023-24</t>
  </si>
  <si>
    <t>SS Lateral For Filter Bed No.18</t>
  </si>
  <si>
    <t>SS Lateral For Filter Bed No.20</t>
  </si>
  <si>
    <t>SS Lateral For Filter Bed No.21</t>
  </si>
  <si>
    <t>SS Lateral For Filter Bed No.22</t>
  </si>
  <si>
    <t>B-1/28 For 2019-20</t>
  </si>
  <si>
    <t>B-1/43 For 2022-23</t>
  </si>
  <si>
    <t>SS Lateral For Filter Bed No.19</t>
  </si>
  <si>
    <t>SS Lateral For Filter Bed No.</t>
  </si>
  <si>
    <t>B-1/42 For 2023-24</t>
  </si>
  <si>
    <t>Construction of Bridge Assembly</t>
  </si>
  <si>
    <t>B-1/69 For 2023-24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</si>
  <si>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</si>
  <si>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Geyser</t>
  </si>
  <si>
    <t>Supply of Geyser</t>
  </si>
  <si>
    <t>Solarium</t>
  </si>
  <si>
    <t>Manual lawn mower</t>
  </si>
  <si>
    <t>Flow Display/Meter</t>
  </si>
  <si>
    <t>Supply Install and Commission of electromagnetic Flow Meter (EMF) for size 900mm &amp; 1000mm Including Sensor (900mm Nominal Diameter Flowmeter)</t>
  </si>
  <si>
    <t>Krohne</t>
  </si>
  <si>
    <t>B-1/21 For 2021-22</t>
  </si>
  <si>
    <t>M/s E-Link Software Technologies Pvt Ltd</t>
  </si>
  <si>
    <t>Redg Office : 50/2365, Vijaydeep CHS Ltd., Opp. MIG Cricket Club, Bandra €, Mumbai 400051 | Branch Office : CS/45, 2nd Floor, Metro Plaza, Behind Metro Junction Mall, Netivali, Kalyan - 421306</t>
  </si>
  <si>
    <t>Steel Writing Table</t>
  </si>
  <si>
    <t>Supply of Steel Writing Table size 1200 x 600 x 750 mm</t>
  </si>
  <si>
    <t>M/s Power Engineer Corporation</t>
  </si>
  <si>
    <t>Chlorine gas Detection Control Panel</t>
  </si>
  <si>
    <t>Supply of Microcontroller based multichannel chlorine gas detection control panel with LED Display for alram Status A1,A2 A3</t>
  </si>
  <si>
    <t>B-1/33 For 2022-23</t>
  </si>
  <si>
    <t>B-1/53 For 2019-20</t>
  </si>
  <si>
    <t>Supply of Split type variable speed inverter technology room Air conditioner 250V 1.5TON</t>
  </si>
  <si>
    <t>Self Contained Water Cooler 230/250V 50 Cycles nominal</t>
  </si>
  <si>
    <t>Gate No.1</t>
  </si>
  <si>
    <t xml:space="preserve">Old Pump House </t>
  </si>
  <si>
    <t>Supply of Motorized Damper Valve</t>
  </si>
  <si>
    <t>Street Light Galvanized octagonal poles</t>
  </si>
  <si>
    <t>LED Light For Galvanized octagonal poles</t>
  </si>
  <si>
    <t>Central Bearing Assembly for CLF No.1</t>
  </si>
  <si>
    <t>Central Bearing Assembly for CLF No.3</t>
  </si>
  <si>
    <t>Central Bearing Assembly for CLF No.4</t>
  </si>
  <si>
    <t>Supply of Central Bearing Assembly for CLF No.1</t>
  </si>
  <si>
    <t>Supply of Central Bearing Assembly for CLF No.3</t>
  </si>
  <si>
    <t>Supply of Central Bearing Assembly for CLF No.4</t>
  </si>
  <si>
    <t>NRV for Wash Water Pump No.2</t>
  </si>
  <si>
    <t>NRV for Wash Water Pump No.1</t>
  </si>
  <si>
    <t>Supply of LED Battan Lights 180W</t>
  </si>
  <si>
    <t>Assembly of Bridge for CLF no.2</t>
  </si>
  <si>
    <t>Supply of M.S Powder Coated Slotted Angle Pigen Hole Rack with GI Shelves &amp; Partitions</t>
  </si>
  <si>
    <t>Tata Steel</t>
  </si>
  <si>
    <t xml:space="preserve">GoSwami Storage Racks </t>
  </si>
  <si>
    <t>Sales@gostorageracks.com</t>
  </si>
  <si>
    <t>Bhoomi World Industrial Park, Mumbai-Nashik Highway, Pimplas, Tal-Bhiwandi, Dist.Thane - 421302</t>
  </si>
  <si>
    <t>Steel Rack</t>
  </si>
  <si>
    <t>Supply of M.S Powder Coated Medium Duty Racks With G.I Deck Panels 750kg Load Capacity</t>
  </si>
  <si>
    <t>Office</t>
  </si>
  <si>
    <t>D-1/12 For 2018-19</t>
  </si>
  <si>
    <t xml:space="preserve">Supply of 1000mm Full Bore Elctromagnetic flow meter as per ISO 17025 for Raw/Pure Water </t>
  </si>
  <si>
    <t>Hi-tech Engineers</t>
  </si>
  <si>
    <t xml:space="preserve">GPRS Modem </t>
  </si>
  <si>
    <t>Supply of GPRS Modem</t>
  </si>
  <si>
    <t xml:space="preserve">Krohne </t>
  </si>
  <si>
    <t>UPS &amp; Chargeable Battary</t>
  </si>
  <si>
    <t>Supply of UPS and Chargeable Battary</t>
  </si>
  <si>
    <t xml:space="preserve">Surge Protection </t>
  </si>
  <si>
    <t>Supply of Surge Protection</t>
  </si>
  <si>
    <t>Data Logger</t>
  </si>
  <si>
    <t>Supply of Data Logger</t>
  </si>
  <si>
    <t>Self Standing Panel</t>
  </si>
  <si>
    <t>Supply of Self Standing Panel</t>
  </si>
  <si>
    <t>Alum Transfer Pump No.3</t>
  </si>
  <si>
    <t>Alum Transfer Pump No.4</t>
  </si>
  <si>
    <t>Supply of PVC Nozzles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</si>
</sst>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entury Gothic"/>
      <family val="2"/>
    </font>
    <font>
      <sz val="8"/>
      <color rgb="FF000000"/>
      <name val="Century Gothic"/>
      <family val="2"/>
    </font>
    <font>
      <u/>
      <sz val="9"/>
      <color theme="10"/>
      <name val="Century Gothic"/>
      <family val="2"/>
    </font>
    <font>
      <sz val="9"/>
      <color theme="1"/>
      <name val="Century Gothic"/>
      <family val="2"/>
    </font>
    <font>
      <sz val="8"/>
      <name val="Calibri"/>
      <family val="2"/>
      <scheme val="minor"/>
    </font>
    <font>
      <b/>
      <sz val="9"/>
      <color theme="1"/>
      <name val="Century Gothic"/>
      <family val="2"/>
    </font>
    <font>
      <sz val="9"/>
      <color rgb="FF000000"/>
      <name val="Century Gothic"/>
      <family val="2"/>
    </font>
    <font>
      <sz val="9"/>
      <color rgb="FF0070C0"/>
      <name val="Century Gothic"/>
      <family val="2"/>
    </font>
    <font>
      <u/>
      <sz val="9"/>
      <color theme="10"/>
      <name val="Calibri"/>
      <family val="2"/>
      <scheme val="minor"/>
    </font>
    <font>
      <b/>
      <sz val="9"/>
      <color rgb="FFFF0000"/>
      <name val="Century Gothic"/>
      <family val="2"/>
    </font>
    <font>
      <sz val="9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14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14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1" fontId="8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vertical="center" wrapText="1"/>
    </xf>
    <xf numFmtId="1" fontId="5" fillId="0" borderId="3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0" fillId="0" borderId="5" xfId="0" applyBorder="1"/>
    <xf numFmtId="0" fontId="12" fillId="0" borderId="6" xfId="0" applyFont="1" applyBorder="1" applyAlignment="1">
      <alignment horizontal="center" vertical="center" wrapText="1"/>
    </xf>
    <xf numFmtId="0" fontId="0" fillId="0" borderId="6" xfId="0" applyBorder="1"/>
    <xf numFmtId="0" fontId="12" fillId="0" borderId="0" xfId="0" applyFont="1" applyAlignment="1">
      <alignment horizontal="center" vertical="center" wrapText="1"/>
    </xf>
    <xf numFmtId="0" fontId="4" fillId="0" borderId="5" xfId="1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left" wrapText="1"/>
    </xf>
    <xf numFmtId="0" fontId="10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11" fillId="0" borderId="1" xfId="1" applyFont="1" applyFill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wrapText="1"/>
    </xf>
    <xf numFmtId="14" fontId="5" fillId="0" borderId="1" xfId="0" applyNumberFormat="1" applyFont="1" applyBorder="1" applyAlignment="1">
      <alignment horizontal="left" wrapText="1"/>
    </xf>
    <xf numFmtId="0" fontId="8" fillId="0" borderId="4" xfId="0" applyFont="1" applyBorder="1" applyAlignment="1">
      <alignment horizontal="left" vertical="center" wrapText="1"/>
    </xf>
    <xf numFmtId="14" fontId="5" fillId="0" borderId="3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4" fillId="0" borderId="1" xfId="1" applyFont="1" applyFill="1" applyBorder="1" applyAlignment="1">
      <alignment horizontal="left"/>
    </xf>
    <xf numFmtId="14" fontId="8" fillId="0" borderId="1" xfId="0" applyNumberFormat="1" applyFont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14" fontId="8" fillId="0" borderId="1" xfId="0" applyNumberFormat="1" applyFont="1" applyBorder="1" applyAlignment="1">
      <alignment horizontal="left" wrapText="1"/>
    </xf>
    <xf numFmtId="0" fontId="10" fillId="0" borderId="1" xfId="1" applyFont="1" applyBorder="1" applyAlignment="1">
      <alignment horizontal="left" wrapText="1"/>
    </xf>
    <xf numFmtId="165" fontId="5" fillId="0" borderId="3" xfId="0" applyNumberFormat="1" applyFont="1" applyBorder="1" applyAlignment="1">
      <alignment horizontal="left" vertical="center" wrapText="1"/>
    </xf>
    <xf numFmtId="14" fontId="5" fillId="0" borderId="5" xfId="0" applyNumberFormat="1" applyFont="1" applyBorder="1" applyAlignment="1">
      <alignment horizontal="left" vertical="center" wrapText="1"/>
    </xf>
    <xf numFmtId="1" fontId="5" fillId="0" borderId="5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6D721B-39AF-4D3A-B951-B1CF52EE2EC9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_plBtlZfhEAwkYVF-JZV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1gweu_usXxN_dwXTewiZFLSn33JxGKvj/view?usp=drive_link" TargetMode="External"/><Relationship Id="rId671" Type="http://schemas.openxmlformats.org/officeDocument/2006/relationships/hyperlink" Target="mailto:pjj.pec@gmail.com" TargetMode="External"/><Relationship Id="rId21" Type="http://schemas.openxmlformats.org/officeDocument/2006/relationships/hyperlink" Target="https://drive.google.com/file/d/14bixfTSYzXRJTs5uLa1lfwaLEKxiRhos/view?usp=drive_link" TargetMode="External"/><Relationship Id="rId324" Type="http://schemas.openxmlformats.org/officeDocument/2006/relationships/hyperlink" Target="mailto:tender@waghindia.com" TargetMode="External"/><Relationship Id="rId531" Type="http://schemas.openxmlformats.org/officeDocument/2006/relationships/hyperlink" Target="mailto:kasturisteelfurniture@gmail.com" TargetMode="External"/><Relationship Id="rId629" Type="http://schemas.openxmlformats.org/officeDocument/2006/relationships/hyperlink" Target="mailto:suvaselectricals@gmail.com" TargetMode="External"/><Relationship Id="rId170" Type="http://schemas.openxmlformats.org/officeDocument/2006/relationships/hyperlink" Target="https://drive.google.com/file/d/1OnJbmYrfgIdUGGFb7tXnryx2NK_BIpGt/view?usp=drive_link" TargetMode="External"/><Relationship Id="rId268" Type="http://schemas.openxmlformats.org/officeDocument/2006/relationships/hyperlink" Target="https://drive.google.com/file/d/1IEdGocFPdfAGYBa43QTu9WFDze5OOrpy/view?usp=drive_link" TargetMode="External"/><Relationship Id="rId475" Type="http://schemas.openxmlformats.org/officeDocument/2006/relationships/hyperlink" Target="mailto:tsplhq@trafitek.com" TargetMode="External"/><Relationship Id="rId682" Type="http://schemas.openxmlformats.org/officeDocument/2006/relationships/hyperlink" Target="mailto:pjj.pec@gmail.com" TargetMode="External"/><Relationship Id="rId32" Type="http://schemas.openxmlformats.org/officeDocument/2006/relationships/hyperlink" Target="https://drive.google.com/file/d/1_zGRSiMLnedYBFHGXl4_ku56EFb0uO-N/view?usp=drive_link" TargetMode="External"/><Relationship Id="rId128" Type="http://schemas.openxmlformats.org/officeDocument/2006/relationships/hyperlink" Target="https://drive.google.com/file/d/17quGNFzmo2wOuG63I1-ain94e36yV6BN/view?usp=drive_link" TargetMode="External"/><Relationship Id="rId335" Type="http://schemas.openxmlformats.org/officeDocument/2006/relationships/hyperlink" Target="mailto:tender@waghindia.com" TargetMode="External"/><Relationship Id="rId542" Type="http://schemas.openxmlformats.org/officeDocument/2006/relationships/hyperlink" Target="mailto:computechgreen@gmail.com" TargetMode="External"/><Relationship Id="rId181" Type="http://schemas.openxmlformats.org/officeDocument/2006/relationships/hyperlink" Target="https://drive.google.com/file/d/1K9jf5bdV73lQxGye5qOB7_CrTHLI1jeF/view?usp=drive_link" TargetMode="External"/><Relationship Id="rId402" Type="http://schemas.openxmlformats.org/officeDocument/2006/relationships/hyperlink" Target="mailto:Pankaj@sfec.in" TargetMode="External"/><Relationship Id="rId279" Type="http://schemas.openxmlformats.org/officeDocument/2006/relationships/hyperlink" Target="https://drive.google.com/file/d/1iAazOLOZwTwKWHkITbz6Yd-DB2gVU-3R/view?usp=drive_link" TargetMode="External"/><Relationship Id="rId486" Type="http://schemas.openxmlformats.org/officeDocument/2006/relationships/hyperlink" Target="mailto:tsplhq@trafitek.com" TargetMode="External"/><Relationship Id="rId693" Type="http://schemas.openxmlformats.org/officeDocument/2006/relationships/hyperlink" Target="https://drive.google.com/file/d/17quGNFzmo2wOuG63I1-ain94e36yV6BN/view?usp=drive_link" TargetMode="External"/><Relationship Id="rId707" Type="http://schemas.openxmlformats.org/officeDocument/2006/relationships/hyperlink" Target="mailto:achalaee@gamil.com" TargetMode="External"/><Relationship Id="rId43" Type="http://schemas.openxmlformats.org/officeDocument/2006/relationships/hyperlink" Target="https://drive.google.com/file/d/1_kvCGYSY9-TU3Jsxsg5ukmdAjC427904/view?usp=drive_link" TargetMode="External"/><Relationship Id="rId139" Type="http://schemas.openxmlformats.org/officeDocument/2006/relationships/hyperlink" Target="mailto:Pankaj@sfec.in" TargetMode="External"/><Relationship Id="rId346" Type="http://schemas.openxmlformats.org/officeDocument/2006/relationships/hyperlink" Target="mailto:tender@waghindia.com" TargetMode="External"/><Relationship Id="rId553" Type="http://schemas.openxmlformats.org/officeDocument/2006/relationships/hyperlink" Target="mailto:sales@khushbooscientific.com" TargetMode="External"/><Relationship Id="rId760" Type="http://schemas.openxmlformats.org/officeDocument/2006/relationships/hyperlink" Target="mailto:bhagirathinteriors@gmail.com" TargetMode="External"/><Relationship Id="rId192" Type="http://schemas.openxmlformats.org/officeDocument/2006/relationships/hyperlink" Target="https://drive.google.com/file/d/1PsPNLwzLQgYJuS7VDdMFYSSISOTRJ6AO/view?usp=drive_link" TargetMode="External"/><Relationship Id="rId206" Type="http://schemas.openxmlformats.org/officeDocument/2006/relationships/hyperlink" Target="https://drive.google.com/file/d/1M4D7tVPzr5WdmDYI0NfyV5dtBZmG_HgY/view?usp=drive_link" TargetMode="External"/><Relationship Id="rId413" Type="http://schemas.openxmlformats.org/officeDocument/2006/relationships/hyperlink" Target="mailto:Pankaj@sfec.in" TargetMode="External"/><Relationship Id="rId497" Type="http://schemas.openxmlformats.org/officeDocument/2006/relationships/hyperlink" Target="mailto:tsplhq@trafitek.com" TargetMode="External"/><Relationship Id="rId620" Type="http://schemas.openxmlformats.org/officeDocument/2006/relationships/hyperlink" Target="mailto:kasturisteelfurniture@gmail.com" TargetMode="External"/><Relationship Id="rId718" Type="http://schemas.openxmlformats.org/officeDocument/2006/relationships/hyperlink" Target="mailto:smpolymer@gmail.com" TargetMode="External"/><Relationship Id="rId357" Type="http://schemas.openxmlformats.org/officeDocument/2006/relationships/hyperlink" Target="mailto:tender@waghindia.com" TargetMode="External"/><Relationship Id="rId54" Type="http://schemas.openxmlformats.org/officeDocument/2006/relationships/hyperlink" Target="https://drive.google.com/file/d/1HVYT_SKMO_NyWuURYSV_2nhhrL0isZxF/view?usp=drive_link" TargetMode="External"/><Relationship Id="rId217" Type="http://schemas.openxmlformats.org/officeDocument/2006/relationships/hyperlink" Target="https://drive.google.com/file/d/1dw9lORSe_oR5B4uw_8olDIPkZJ5tORLU/view?usp=drive_link" TargetMode="External"/><Relationship Id="rId564" Type="http://schemas.openxmlformats.org/officeDocument/2006/relationships/hyperlink" Target="mailto:Contactus@friendsengg.in" TargetMode="External"/><Relationship Id="rId424" Type="http://schemas.openxmlformats.org/officeDocument/2006/relationships/hyperlink" Target="mailto:bhagirathinteriors@gmail.com" TargetMode="External"/><Relationship Id="rId631" Type="http://schemas.openxmlformats.org/officeDocument/2006/relationships/hyperlink" Target="mailto:bhagirathinteriors@gmail.com" TargetMode="External"/><Relationship Id="rId729" Type="http://schemas.openxmlformats.org/officeDocument/2006/relationships/hyperlink" Target="mailto:santajikadam@yahoo.co.in" TargetMode="External"/><Relationship Id="rId270" Type="http://schemas.openxmlformats.org/officeDocument/2006/relationships/hyperlink" Target="https://drive.google.com/file/d/16MYuZaEdVpcZIcL1UxsKvIRCqh0CmJKs/view?usp=drive_link" TargetMode="External"/><Relationship Id="rId65" Type="http://schemas.openxmlformats.org/officeDocument/2006/relationships/hyperlink" Target="https://drive.google.com/file/d/1vCHovK4-b3voN2ZwW3h9jnURDYacx2s6/view?usp=drive_link" TargetMode="External"/><Relationship Id="rId130" Type="http://schemas.openxmlformats.org/officeDocument/2006/relationships/hyperlink" Target="https://drive.google.com/file/d/1FHwRGhJ6S6FuK_eHKeWwV0PVr_dPvy8l/view?usp=drive_link" TargetMode="External"/><Relationship Id="rId368" Type="http://schemas.openxmlformats.org/officeDocument/2006/relationships/hyperlink" Target="mailto:tender@waghindia.com" TargetMode="External"/><Relationship Id="rId575" Type="http://schemas.openxmlformats.org/officeDocument/2006/relationships/hyperlink" Target="mailto:Contactus@friendsengg.in" TargetMode="External"/><Relationship Id="rId228" Type="http://schemas.openxmlformats.org/officeDocument/2006/relationships/hyperlink" Target="https://drive.google.com/file/d/1SnBIsRuw98ASAK-88s99K7imn_rJfh52/view?usp=drive_link" TargetMode="External"/><Relationship Id="rId435" Type="http://schemas.openxmlformats.org/officeDocument/2006/relationships/hyperlink" Target="mailto:globalentp13@gmail.com" TargetMode="External"/><Relationship Id="rId642" Type="http://schemas.openxmlformats.org/officeDocument/2006/relationships/hyperlink" Target="mailto:suvaselectricals@gmail.com" TargetMode="External"/><Relationship Id="rId281" Type="http://schemas.openxmlformats.org/officeDocument/2006/relationships/hyperlink" Target="https://drive.google.com/file/d/1jrjXhG2MJ-eQEVNEQLPvkT0fkA8EdRi2/view?usp=drive_link" TargetMode="External"/><Relationship Id="rId502" Type="http://schemas.openxmlformats.org/officeDocument/2006/relationships/hyperlink" Target="mailto:tsplhq@trafitek.com" TargetMode="External"/><Relationship Id="rId76" Type="http://schemas.openxmlformats.org/officeDocument/2006/relationships/hyperlink" Target="https://drive.google.com/file/d/1a930Yyza5ZJPmv51XrLJkkywuNckZIWQ/view?usp=drive_link" TargetMode="External"/><Relationship Id="rId141" Type="http://schemas.openxmlformats.org/officeDocument/2006/relationships/hyperlink" Target="mailto:Pankaj@sfec.in" TargetMode="External"/><Relationship Id="rId379" Type="http://schemas.openxmlformats.org/officeDocument/2006/relationships/hyperlink" Target="https://drive.google.com/file/d/1cy_ltcFUV8gaHBZ8G3ydl8_45eHiw9_f/view?usp=drive_link" TargetMode="External"/><Relationship Id="rId586" Type="http://schemas.openxmlformats.org/officeDocument/2006/relationships/hyperlink" Target="mailto:suvaselectricals@gmail.com" TargetMode="External"/><Relationship Id="rId7" Type="http://schemas.openxmlformats.org/officeDocument/2006/relationships/hyperlink" Target="mailto:bhagirathinteriors@gmail.com" TargetMode="External"/><Relationship Id="rId239" Type="http://schemas.openxmlformats.org/officeDocument/2006/relationships/hyperlink" Target="https://drive.google.com/file/d/1FmxvLOCDMMhkIqn4bWPY7wQMorsyULDy/view?usp=drive_link" TargetMode="External"/><Relationship Id="rId446" Type="http://schemas.openxmlformats.org/officeDocument/2006/relationships/hyperlink" Target="https://drive.google.com/file/d/1mKjuT-ZNG2f-0R1hj9BpEtfV5gyT_Q3d/view?usp=drive_link" TargetMode="External"/><Relationship Id="rId653" Type="http://schemas.openxmlformats.org/officeDocument/2006/relationships/hyperlink" Target="mailto:suvaselectricals@gmail.com" TargetMode="External"/><Relationship Id="rId292" Type="http://schemas.openxmlformats.org/officeDocument/2006/relationships/hyperlink" Target="mailto:bhagirathinteriors@gmail.com" TargetMode="External"/><Relationship Id="rId306" Type="http://schemas.openxmlformats.org/officeDocument/2006/relationships/hyperlink" Target="mailto:sales@khushbooscientific.com" TargetMode="External"/><Relationship Id="rId87" Type="http://schemas.openxmlformats.org/officeDocument/2006/relationships/hyperlink" Target="https://drive.google.com/file/d/1xmlwQhXe1qM46r9uaJW0_7N6jWxIvysh/view?usp=drive_link" TargetMode="External"/><Relationship Id="rId513" Type="http://schemas.openxmlformats.org/officeDocument/2006/relationships/hyperlink" Target="mailto:tsplhq@trafitek.com" TargetMode="External"/><Relationship Id="rId597" Type="http://schemas.openxmlformats.org/officeDocument/2006/relationships/hyperlink" Target="mailto:tsplhq@trafitek.com" TargetMode="External"/><Relationship Id="rId720" Type="http://schemas.openxmlformats.org/officeDocument/2006/relationships/hyperlink" Target="mailto:santajikadam@yahoo.co.in" TargetMode="External"/><Relationship Id="rId152" Type="http://schemas.openxmlformats.org/officeDocument/2006/relationships/hyperlink" Target="https://drive.google.com/file/d/1m7TpZ_WvbhT1QqiFMTxARrHRwKyBRola/view?usp=drive_link" TargetMode="External"/><Relationship Id="rId457" Type="http://schemas.openxmlformats.org/officeDocument/2006/relationships/hyperlink" Target="https://drive.google.com/file/d/1CsBplTCdetacBYT_pQBKpUsouCY_w64m/view?usp=drive_link" TargetMode="External"/><Relationship Id="rId664" Type="http://schemas.openxmlformats.org/officeDocument/2006/relationships/hyperlink" Target="mailto:tsplhq@trafitek.com" TargetMode="External"/><Relationship Id="rId14" Type="http://schemas.openxmlformats.org/officeDocument/2006/relationships/hyperlink" Target="https://drive.google.com/file/d/1gJp2zuWb4w0wxROKzCeMhKiAYyxFRQXD/view?usp=drive_link" TargetMode="External"/><Relationship Id="rId317" Type="http://schemas.openxmlformats.org/officeDocument/2006/relationships/hyperlink" Target="mailto:tender@waghindia.com" TargetMode="External"/><Relationship Id="rId524" Type="http://schemas.openxmlformats.org/officeDocument/2006/relationships/hyperlink" Target="mailto:bhagirathinteriors@gmail.com" TargetMode="External"/><Relationship Id="rId731" Type="http://schemas.openxmlformats.org/officeDocument/2006/relationships/hyperlink" Target="mailto:santajikadam@yahoo.co.in" TargetMode="External"/><Relationship Id="rId98" Type="http://schemas.openxmlformats.org/officeDocument/2006/relationships/hyperlink" Target="https://drive.google.com/file/d/1Oq6Hr32i-6p4TMGBlABvB2l7kTMeWMCn/view?usp=drive_link" TargetMode="External"/><Relationship Id="rId163" Type="http://schemas.openxmlformats.org/officeDocument/2006/relationships/hyperlink" Target="https://drive.google.com/file/d/1CouMgqMLIIuhZTwC9hhodkHTbB3LA_ZH/view?usp=drive_link" TargetMode="External"/><Relationship Id="rId370" Type="http://schemas.openxmlformats.org/officeDocument/2006/relationships/hyperlink" Target="mailto:tender@waghindia.com" TargetMode="External"/><Relationship Id="rId230" Type="http://schemas.openxmlformats.org/officeDocument/2006/relationships/hyperlink" Target="https://drive.google.com/file/d/1LeNVFH61Km0NohYJvYDRDADcXijOTQFE/view?usp=drive_link" TargetMode="External"/><Relationship Id="rId468" Type="http://schemas.openxmlformats.org/officeDocument/2006/relationships/hyperlink" Target="mailto:tsplhq@trafitek.com" TargetMode="External"/><Relationship Id="rId675" Type="http://schemas.openxmlformats.org/officeDocument/2006/relationships/hyperlink" Target="mailto:pjj.pec@gmail.com" TargetMode="External"/><Relationship Id="rId25" Type="http://schemas.openxmlformats.org/officeDocument/2006/relationships/hyperlink" Target="https://drive.google.com/file/d/1SnJbErnkt8ifV_QA8JbYihM0Hkp58VjR/view?usp=drive_link" TargetMode="External"/><Relationship Id="rId328" Type="http://schemas.openxmlformats.org/officeDocument/2006/relationships/hyperlink" Target="mailto:tender@waghindia.com" TargetMode="External"/><Relationship Id="rId535" Type="http://schemas.openxmlformats.org/officeDocument/2006/relationships/hyperlink" Target="mailto:computechgreen@gmail.com" TargetMode="External"/><Relationship Id="rId742" Type="http://schemas.openxmlformats.org/officeDocument/2006/relationships/hyperlink" Target="mailto:pjj.pec@gmail.com" TargetMode="External"/><Relationship Id="rId174" Type="http://schemas.openxmlformats.org/officeDocument/2006/relationships/hyperlink" Target="https://drive.google.com/file/d/1gslkR5Uffm5ry_HOUP0QuCI1zLrjBz_m/view?usp=drive_link" TargetMode="External"/><Relationship Id="rId381" Type="http://schemas.openxmlformats.org/officeDocument/2006/relationships/hyperlink" Target="https://drive.google.com/file/d/1cy_ltcFUV8gaHBZ8G3ydl8_45eHiw9_f/view?usp=drive_link" TargetMode="External"/><Relationship Id="rId602" Type="http://schemas.openxmlformats.org/officeDocument/2006/relationships/hyperlink" Target="mailto:suvaselectricals@gmail.com" TargetMode="External"/><Relationship Id="rId241" Type="http://schemas.openxmlformats.org/officeDocument/2006/relationships/hyperlink" Target="https://drive.google.com/file/d/1i_chZkjjCFM2Sn4foCkfZvecsriq10zF/view?usp=drive_link" TargetMode="External"/><Relationship Id="rId479" Type="http://schemas.openxmlformats.org/officeDocument/2006/relationships/hyperlink" Target="mailto:tsplhq@trafitek.com" TargetMode="External"/><Relationship Id="rId686" Type="http://schemas.openxmlformats.org/officeDocument/2006/relationships/hyperlink" Target="mailto:pjj.pec@gmail.com" TargetMode="External"/><Relationship Id="rId36" Type="http://schemas.openxmlformats.org/officeDocument/2006/relationships/hyperlink" Target="https://drive.google.com/file/d/15m9DPXZ0cFmyMSHVy6IW7BpoMsp4HZVQ/view?usp=drive_link" TargetMode="External"/><Relationship Id="rId339" Type="http://schemas.openxmlformats.org/officeDocument/2006/relationships/hyperlink" Target="mailto:tender@waghindia.com" TargetMode="External"/><Relationship Id="rId546" Type="http://schemas.openxmlformats.org/officeDocument/2006/relationships/hyperlink" Target="mailto:bhagirathinteriors@gmail.com" TargetMode="External"/><Relationship Id="rId753" Type="http://schemas.openxmlformats.org/officeDocument/2006/relationships/hyperlink" Target="mailto:bhagirathinteriors@gmail.com" TargetMode="External"/><Relationship Id="rId101" Type="http://schemas.openxmlformats.org/officeDocument/2006/relationships/hyperlink" Target="https://drive.google.com/file/d/1qLQ3Put9KxKoxkcEm_eSwnvh4GoJWPCj/view?usp=drive_link" TargetMode="External"/><Relationship Id="rId185" Type="http://schemas.openxmlformats.org/officeDocument/2006/relationships/hyperlink" Target="https://drive.google.com/file/d/14ps96uV6NpGSzNoLP3xQzRkK52tomEAA/view?usp=drive_link" TargetMode="External"/><Relationship Id="rId406" Type="http://schemas.openxmlformats.org/officeDocument/2006/relationships/hyperlink" Target="mailto:Pankaj@sfec.in" TargetMode="External"/><Relationship Id="rId392" Type="http://schemas.openxmlformats.org/officeDocument/2006/relationships/hyperlink" Target="mailto:Pankaj@sfec.in" TargetMode="External"/><Relationship Id="rId613" Type="http://schemas.openxmlformats.org/officeDocument/2006/relationships/hyperlink" Target="mailto:Shahsank.shah@vcme.co.in" TargetMode="External"/><Relationship Id="rId697" Type="http://schemas.openxmlformats.org/officeDocument/2006/relationships/hyperlink" Target="mailto:achalaee@gamil.com" TargetMode="External"/><Relationship Id="rId252" Type="http://schemas.openxmlformats.org/officeDocument/2006/relationships/hyperlink" Target="https://drive.google.com/file/d/1L7qeWakbGxohw4DgzNh_TijFjHj8fb4Z/view?usp=drive_link" TargetMode="External"/><Relationship Id="rId47" Type="http://schemas.openxmlformats.org/officeDocument/2006/relationships/hyperlink" Target="https://drive.google.com/file/d/1tpMcbwf7x9XX655XHWZl0PJpYMHxXnfa/view?usp=drive_link" TargetMode="External"/><Relationship Id="rId112" Type="http://schemas.openxmlformats.org/officeDocument/2006/relationships/hyperlink" Target="https://drive.google.com/file/d/1qq4IdQkdR22O1KeES6nX7Qn-RXnvSeEo/view?usp=drive_link" TargetMode="External"/><Relationship Id="rId557" Type="http://schemas.openxmlformats.org/officeDocument/2006/relationships/hyperlink" Target="mailto:tender@waghindia.com" TargetMode="External"/><Relationship Id="rId764" Type="http://schemas.openxmlformats.org/officeDocument/2006/relationships/hyperlink" Target="mailto:hitechnm2@gmail.com" TargetMode="External"/><Relationship Id="rId196" Type="http://schemas.openxmlformats.org/officeDocument/2006/relationships/hyperlink" Target="https://drive.google.com/file/d/1_738bQKBbZmPmceJ3LpXsFqA-LCNbalt/view?usp=drive_link" TargetMode="External"/><Relationship Id="rId417" Type="http://schemas.openxmlformats.org/officeDocument/2006/relationships/hyperlink" Target="mailto:Pankaj@sfec.in" TargetMode="External"/><Relationship Id="rId624" Type="http://schemas.openxmlformats.org/officeDocument/2006/relationships/hyperlink" Target="mailto:suvaselectricals@gmail.com" TargetMode="External"/><Relationship Id="rId263" Type="http://schemas.openxmlformats.org/officeDocument/2006/relationships/hyperlink" Target="https://drive.google.com/file/d/12CFVJTzJVuFjHw5u1pptJN5aGv7gXesu/view?usp=drive_link" TargetMode="External"/><Relationship Id="rId470" Type="http://schemas.openxmlformats.org/officeDocument/2006/relationships/hyperlink" Target="mailto:tsplhq@trafitek.com" TargetMode="External"/><Relationship Id="rId58" Type="http://schemas.openxmlformats.org/officeDocument/2006/relationships/hyperlink" Target="https://drive.google.com/file/d/1N_C7WnR1kWpacRvIO0XJk0CdjabG3sPy/view?usp=drive_link" TargetMode="External"/><Relationship Id="rId123" Type="http://schemas.openxmlformats.org/officeDocument/2006/relationships/hyperlink" Target="https://drive.google.com/file/d/1cLXjhTLGaIbT4B780ROgCQKRdZi1y8UI/view?usp=drive_link" TargetMode="External"/><Relationship Id="rId330" Type="http://schemas.openxmlformats.org/officeDocument/2006/relationships/hyperlink" Target="mailto:tender@waghindia.com" TargetMode="External"/><Relationship Id="rId568" Type="http://schemas.openxmlformats.org/officeDocument/2006/relationships/hyperlink" Target="mailto:Contactus@friendsengg.in" TargetMode="External"/><Relationship Id="rId428" Type="http://schemas.openxmlformats.org/officeDocument/2006/relationships/hyperlink" Target="mailto:bhagirathinteriors@gmail.com" TargetMode="External"/><Relationship Id="rId635" Type="http://schemas.openxmlformats.org/officeDocument/2006/relationships/hyperlink" Target="mailto:Contactus@friendsengg.in" TargetMode="External"/><Relationship Id="rId274" Type="http://schemas.openxmlformats.org/officeDocument/2006/relationships/hyperlink" Target="https://drive.google.com/file/d/1N61pQIazK9yCWvCZzVULVW_5NxayyQzG/view?usp=drive_link" TargetMode="External"/><Relationship Id="rId481" Type="http://schemas.openxmlformats.org/officeDocument/2006/relationships/hyperlink" Target="mailto:tsplhq@trafitek.com" TargetMode="External"/><Relationship Id="rId702" Type="http://schemas.openxmlformats.org/officeDocument/2006/relationships/hyperlink" Target="mailto:achalaee@gamil.com" TargetMode="External"/><Relationship Id="rId69" Type="http://schemas.openxmlformats.org/officeDocument/2006/relationships/hyperlink" Target="https://drive.google.com/file/d/16DUiPfatyozkSEC51RFRutxYDsVRtfC-/view?usp=drive_link" TargetMode="External"/><Relationship Id="rId134" Type="http://schemas.openxmlformats.org/officeDocument/2006/relationships/hyperlink" Target="https://drive.google.com/file/d/1PyKBOsYb9wnldw99NGs3wMjEOcHcf-oo/view?usp=drive_link" TargetMode="External"/><Relationship Id="rId579" Type="http://schemas.openxmlformats.org/officeDocument/2006/relationships/hyperlink" Target="mailto:Contactus@friendsengg.in" TargetMode="External"/><Relationship Id="rId341" Type="http://schemas.openxmlformats.org/officeDocument/2006/relationships/hyperlink" Target="mailto:tender@waghindia.com" TargetMode="External"/><Relationship Id="rId439" Type="http://schemas.openxmlformats.org/officeDocument/2006/relationships/hyperlink" Target="mailto:kasturisteelfurniture@gmail.com" TargetMode="External"/><Relationship Id="rId646" Type="http://schemas.openxmlformats.org/officeDocument/2006/relationships/hyperlink" Target="mailto:suvaselectricals@gmail.com" TargetMode="External"/><Relationship Id="rId201" Type="http://schemas.openxmlformats.org/officeDocument/2006/relationships/hyperlink" Target="https://drive.google.com/file/d/1wx0o-1DNSkEfsPOPg3zfjVx8yTsZ_bT_/view?usp=drive_link" TargetMode="External"/><Relationship Id="rId285" Type="http://schemas.openxmlformats.org/officeDocument/2006/relationships/hyperlink" Target="https://drive.google.com/file/d/1QNx71VHAt-wQopteVQGOtvqecQ7ovPNZ/view?usp=drive_link" TargetMode="External"/><Relationship Id="rId506" Type="http://schemas.openxmlformats.org/officeDocument/2006/relationships/hyperlink" Target="mailto:tsplhq@trafitek.com" TargetMode="External"/><Relationship Id="rId492" Type="http://schemas.openxmlformats.org/officeDocument/2006/relationships/hyperlink" Target="mailto:tsplhq@trafitek.com" TargetMode="External"/><Relationship Id="rId713" Type="http://schemas.openxmlformats.org/officeDocument/2006/relationships/hyperlink" Target="mailto:Contactus@friendsengg.in" TargetMode="External"/><Relationship Id="rId145" Type="http://schemas.openxmlformats.org/officeDocument/2006/relationships/hyperlink" Target="https://drive.google.com/file/d/16uZvpgSaZSoXPGPBw_fMqaO_zI84x0RO/view?usp=drive_link" TargetMode="External"/><Relationship Id="rId352" Type="http://schemas.openxmlformats.org/officeDocument/2006/relationships/hyperlink" Target="mailto:suvaselectricals@gmail.com" TargetMode="External"/><Relationship Id="rId212" Type="http://schemas.openxmlformats.org/officeDocument/2006/relationships/hyperlink" Target="https://drive.google.com/file/d/1q4u0UwfQpNZGr0tGO0FKk0ggFmzj3Wdi/view?usp=drive_link" TargetMode="External"/><Relationship Id="rId657" Type="http://schemas.openxmlformats.org/officeDocument/2006/relationships/hyperlink" Target="mailto:Pankaj@sfec.in" TargetMode="External"/><Relationship Id="rId296" Type="http://schemas.openxmlformats.org/officeDocument/2006/relationships/hyperlink" Target="mailto:bhagirathinteriors@gmail.com" TargetMode="External"/><Relationship Id="rId517" Type="http://schemas.openxmlformats.org/officeDocument/2006/relationships/hyperlink" Target="mailto:tsplhq@trafitek.com" TargetMode="External"/><Relationship Id="rId724" Type="http://schemas.openxmlformats.org/officeDocument/2006/relationships/hyperlink" Target="mailto:santajikadam@yahoo.co.in" TargetMode="External"/><Relationship Id="rId60" Type="http://schemas.openxmlformats.org/officeDocument/2006/relationships/hyperlink" Target="https://drive.google.com/file/d/1Y2pWDSw4Yvcm87pX1MNFLuYQECafdmFm/view?usp=drive_link" TargetMode="External"/><Relationship Id="rId156" Type="http://schemas.openxmlformats.org/officeDocument/2006/relationships/hyperlink" Target="https://drive.google.com/file/d/128fGsyF6i0Urgd0DIRClIgzYZTWsdzum/view?usp=drive_link" TargetMode="External"/><Relationship Id="rId363" Type="http://schemas.openxmlformats.org/officeDocument/2006/relationships/hyperlink" Target="mailto:tender@waghindia.com" TargetMode="External"/><Relationship Id="rId570" Type="http://schemas.openxmlformats.org/officeDocument/2006/relationships/hyperlink" Target="mailto:Contactus@friendsengg.in" TargetMode="External"/><Relationship Id="rId223" Type="http://schemas.openxmlformats.org/officeDocument/2006/relationships/hyperlink" Target="https://drive.google.com/file/d/1DGOdXNli7b0Jp27NhsjPtORgWUtNylaS/view?usp=drive_link" TargetMode="External"/><Relationship Id="rId430" Type="http://schemas.openxmlformats.org/officeDocument/2006/relationships/hyperlink" Target="https://drive.google.com/file/d/1GqTon7XfldbGuyh7HOPi214FBU0briw1/view?usp=drive_link" TargetMode="External"/><Relationship Id="rId668" Type="http://schemas.openxmlformats.org/officeDocument/2006/relationships/hyperlink" Target="mailto:pjj.pec@gmail.com" TargetMode="External"/><Relationship Id="rId18" Type="http://schemas.openxmlformats.org/officeDocument/2006/relationships/hyperlink" Target="https://drive.google.com/file/d/1sA3Lv6P1TeyTAOdsv241PdHn0YVlDJjQ/view?usp=drive_link" TargetMode="External"/><Relationship Id="rId528" Type="http://schemas.openxmlformats.org/officeDocument/2006/relationships/hyperlink" Target="mailto:bhagirathinteriors@gmail.com" TargetMode="External"/><Relationship Id="rId735" Type="http://schemas.openxmlformats.org/officeDocument/2006/relationships/hyperlink" Target="mailto:Manaelectric@gmail.com" TargetMode="External"/><Relationship Id="rId167" Type="http://schemas.openxmlformats.org/officeDocument/2006/relationships/hyperlink" Target="mailto:computechgreen@gmail.com" TargetMode="External"/><Relationship Id="rId374" Type="http://schemas.openxmlformats.org/officeDocument/2006/relationships/hyperlink" Target="https://drive.google.com/file/d/1cy_ltcFUV8gaHBZ8G3ydl8_45eHiw9_f/view?usp=drive_link" TargetMode="External"/><Relationship Id="rId581" Type="http://schemas.openxmlformats.org/officeDocument/2006/relationships/hyperlink" Target="mailto:Contactus@friendsengg.in" TargetMode="External"/><Relationship Id="rId71" Type="http://schemas.openxmlformats.org/officeDocument/2006/relationships/hyperlink" Target="https://drive.google.com/file/d/1lf9exKVJL0tp3ZIcamCyB1TwvDXB57o3/view?usp=drive_link" TargetMode="External"/><Relationship Id="rId234" Type="http://schemas.openxmlformats.org/officeDocument/2006/relationships/hyperlink" Target="https://drive.google.com/file/d/1R3UIXDxThXb11vPRWpTx0t9DWKiOeOIJ/view?usp=drive_link" TargetMode="External"/><Relationship Id="rId679" Type="http://schemas.openxmlformats.org/officeDocument/2006/relationships/hyperlink" Target="mailto:pjj.pec@gmail.com" TargetMode="External"/><Relationship Id="rId2" Type="http://schemas.openxmlformats.org/officeDocument/2006/relationships/hyperlink" Target="mailto:computechgreen@gmail.com" TargetMode="External"/><Relationship Id="rId29" Type="http://schemas.openxmlformats.org/officeDocument/2006/relationships/hyperlink" Target="https://drive.google.com/file/d/1iQtEQ2BqA1FiBjRvoLVzxM-t7YGpdEe_/view?usp=drive_link" TargetMode="External"/><Relationship Id="rId441" Type="http://schemas.openxmlformats.org/officeDocument/2006/relationships/hyperlink" Target="mailto:bhagirathinteriors@gmail.com" TargetMode="External"/><Relationship Id="rId539" Type="http://schemas.openxmlformats.org/officeDocument/2006/relationships/hyperlink" Target="mailto:computechgreen@gmail.com" TargetMode="External"/><Relationship Id="rId746" Type="http://schemas.openxmlformats.org/officeDocument/2006/relationships/hyperlink" Target="mailto:pjj.pec@gmail.com" TargetMode="External"/><Relationship Id="rId178" Type="http://schemas.openxmlformats.org/officeDocument/2006/relationships/hyperlink" Target="https://drive.google.com/file/d/1W9Vn-wXMuwTJtl9XmOtP7i6PcN4R_h9y/view?usp=drive_link" TargetMode="External"/><Relationship Id="rId301" Type="http://schemas.openxmlformats.org/officeDocument/2006/relationships/hyperlink" Target="mailto:bhagirathinteriors@gmail.com" TargetMode="External"/><Relationship Id="rId82" Type="http://schemas.openxmlformats.org/officeDocument/2006/relationships/hyperlink" Target="https://drive.google.com/file/d/1W2pn1vmyIf8BiIQjMeMnp0StylvWtMgo/view?usp=drive_link" TargetMode="External"/><Relationship Id="rId385" Type="http://schemas.openxmlformats.org/officeDocument/2006/relationships/hyperlink" Target="https://drive.google.com/file/d/1cy_ltcFUV8gaHBZ8G3ydl8_45eHiw9_f/view?usp=drive_link" TargetMode="External"/><Relationship Id="rId592" Type="http://schemas.openxmlformats.org/officeDocument/2006/relationships/hyperlink" Target="mailto:suvaselectricals@gmail.com" TargetMode="External"/><Relationship Id="rId606" Type="http://schemas.openxmlformats.org/officeDocument/2006/relationships/hyperlink" Target="mailto:Shahsank.shah@vcme.co.in" TargetMode="External"/><Relationship Id="rId245" Type="http://schemas.openxmlformats.org/officeDocument/2006/relationships/hyperlink" Target="https://drive.google.com/file/d/1KPS27vbxNkcauEUvGMLcet7smCjdS5Et/view?usp=drive_link" TargetMode="External"/><Relationship Id="rId452" Type="http://schemas.openxmlformats.org/officeDocument/2006/relationships/hyperlink" Target="mailto:bhagirathinteriors@gmail.com" TargetMode="External"/><Relationship Id="rId105" Type="http://schemas.openxmlformats.org/officeDocument/2006/relationships/hyperlink" Target="https://drive.google.com/file/d/1ezJ4Vnihowrq8ZRN0F7ddpGDIWtUfjJQ/view?usp=drive_link" TargetMode="External"/><Relationship Id="rId312" Type="http://schemas.openxmlformats.org/officeDocument/2006/relationships/hyperlink" Target="mailto:tender@waghindia.com" TargetMode="External"/><Relationship Id="rId757" Type="http://schemas.openxmlformats.org/officeDocument/2006/relationships/hyperlink" Target="mailto:bhagirathinteriors@gmail.com" TargetMode="External"/><Relationship Id="rId93" Type="http://schemas.openxmlformats.org/officeDocument/2006/relationships/hyperlink" Target="https://drive.google.com/file/d/1BTta6abCCbjWCyfUPIIogOogA40JFmRp/view?usp=drive_link" TargetMode="External"/><Relationship Id="rId189" Type="http://schemas.openxmlformats.org/officeDocument/2006/relationships/hyperlink" Target="https://drive.google.com/file/d/1_Upt1Sh5nm8jSIVSGE_lOW5R4_x_YP0H/view?usp=drive_link" TargetMode="External"/><Relationship Id="rId396" Type="http://schemas.openxmlformats.org/officeDocument/2006/relationships/hyperlink" Target="mailto:Pankaj@sfec.in" TargetMode="External"/><Relationship Id="rId617" Type="http://schemas.openxmlformats.org/officeDocument/2006/relationships/hyperlink" Target="mailto:Contactus@friendsengg.in" TargetMode="External"/><Relationship Id="rId256" Type="http://schemas.openxmlformats.org/officeDocument/2006/relationships/hyperlink" Target="https://drive.google.com/file/d/1yo9kTE1Ps83umj0bcKfO5Z3NJIzJd58W/view?usp=drive_link" TargetMode="External"/><Relationship Id="rId463" Type="http://schemas.openxmlformats.org/officeDocument/2006/relationships/hyperlink" Target="mailto:tsplhq@trafitek.com" TargetMode="External"/><Relationship Id="rId670" Type="http://schemas.openxmlformats.org/officeDocument/2006/relationships/hyperlink" Target="mailto:pjj.pec@gmail.com" TargetMode="External"/><Relationship Id="rId116" Type="http://schemas.openxmlformats.org/officeDocument/2006/relationships/hyperlink" Target="https://drive.google.com/file/d/1M2CFzm2Y3PGOU88YCd18RbvfjM7lcoHx/view?usp=drive_link" TargetMode="External"/><Relationship Id="rId323" Type="http://schemas.openxmlformats.org/officeDocument/2006/relationships/hyperlink" Target="mailto:tender@waghindia.com" TargetMode="External"/><Relationship Id="rId530" Type="http://schemas.openxmlformats.org/officeDocument/2006/relationships/hyperlink" Target="mailto:kasturisteelfurniture@gmail.com" TargetMode="External"/><Relationship Id="rId768" Type="http://schemas.openxmlformats.org/officeDocument/2006/relationships/printerSettings" Target="../printerSettings/printerSettings1.bin"/><Relationship Id="rId20" Type="http://schemas.openxmlformats.org/officeDocument/2006/relationships/hyperlink" Target="https://drive.google.com/file/d/1q-ScR9BY5wAy02edAvqIecblMMeZOYZB/view?usp=drive_link" TargetMode="External"/><Relationship Id="rId628" Type="http://schemas.openxmlformats.org/officeDocument/2006/relationships/hyperlink" Target="mailto:suvaselectricals@gmail.com" TargetMode="External"/><Relationship Id="rId267" Type="http://schemas.openxmlformats.org/officeDocument/2006/relationships/hyperlink" Target="https://drive.google.com/file/d/1IEdGocFPdfAGYBa43QTu9WFDze5OOrpy/view?usp=drive_link" TargetMode="External"/><Relationship Id="rId474" Type="http://schemas.openxmlformats.org/officeDocument/2006/relationships/hyperlink" Target="mailto:tsplhq@trafitek.com" TargetMode="External"/><Relationship Id="rId127" Type="http://schemas.openxmlformats.org/officeDocument/2006/relationships/hyperlink" Target="https://drive.google.com/file/d/1VjjZJbDcDouWbLcgqDwRyIGYsRsLKk_K/view?usp=drive_link" TargetMode="External"/><Relationship Id="rId681" Type="http://schemas.openxmlformats.org/officeDocument/2006/relationships/hyperlink" Target="mailto:pjj.pec@gmail.com" TargetMode="External"/><Relationship Id="rId31" Type="http://schemas.openxmlformats.org/officeDocument/2006/relationships/hyperlink" Target="https://drive.google.com/file/d/1A4XJkgXfVK6enxHCfLETH_GPih3qctvE/view?usp=drive_link" TargetMode="External"/><Relationship Id="rId334" Type="http://schemas.openxmlformats.org/officeDocument/2006/relationships/hyperlink" Target="mailto:tender@waghindia.com" TargetMode="External"/><Relationship Id="rId541" Type="http://schemas.openxmlformats.org/officeDocument/2006/relationships/hyperlink" Target="mailto:computechgreen@gmail.com" TargetMode="External"/><Relationship Id="rId639" Type="http://schemas.openxmlformats.org/officeDocument/2006/relationships/hyperlink" Target="mailto:suvaselectricals@gmail.com" TargetMode="External"/><Relationship Id="rId180" Type="http://schemas.openxmlformats.org/officeDocument/2006/relationships/hyperlink" Target="https://drive.google.com/file/d/1thPnatSRRped7gzMKETQphLdIt62klO8/view?usp=drive_link" TargetMode="External"/><Relationship Id="rId278" Type="http://schemas.openxmlformats.org/officeDocument/2006/relationships/hyperlink" Target="https://drive.google.com/file/d/1Cap0uWlEB2IT9oPgycYjAnmRNz659ec3/view?usp=drive_link" TargetMode="External"/><Relationship Id="rId401" Type="http://schemas.openxmlformats.org/officeDocument/2006/relationships/hyperlink" Target="https://drive.google.com/file/d/1cy_ltcFUV8gaHBZ8G3ydl8_45eHiw9_f/view?usp=drive_link" TargetMode="External"/><Relationship Id="rId303" Type="http://schemas.openxmlformats.org/officeDocument/2006/relationships/hyperlink" Target="mailto:sales@khushbooscientific.com" TargetMode="External"/><Relationship Id="rId485" Type="http://schemas.openxmlformats.org/officeDocument/2006/relationships/hyperlink" Target="mailto:tsplhq@trafitek.com" TargetMode="External"/><Relationship Id="rId692" Type="http://schemas.openxmlformats.org/officeDocument/2006/relationships/hyperlink" Target="mailto:suvaselectricals@gmail.com" TargetMode="External"/><Relationship Id="rId706" Type="http://schemas.openxmlformats.org/officeDocument/2006/relationships/hyperlink" Target="mailto:achalaee@gamil.com" TargetMode="External"/><Relationship Id="rId748" Type="http://schemas.openxmlformats.org/officeDocument/2006/relationships/hyperlink" Target="mailto:Manaelectric@gmail.com" TargetMode="External"/><Relationship Id="rId42" Type="http://schemas.openxmlformats.org/officeDocument/2006/relationships/hyperlink" Target="https://drive.google.com/file/d/1eZdMFvjen1cd3N15x9OItTeWR2PY-1OA/view?usp=drive_link" TargetMode="External"/><Relationship Id="rId84" Type="http://schemas.openxmlformats.org/officeDocument/2006/relationships/hyperlink" Target="https://drive.google.com/file/d/1W2pn1vmyIf8BiIQjMeMnp0StylvWtMgo/view?usp=drive_link" TargetMode="External"/><Relationship Id="rId138" Type="http://schemas.openxmlformats.org/officeDocument/2006/relationships/hyperlink" Target="mailto:Pankaj@sfec.in" TargetMode="External"/><Relationship Id="rId345" Type="http://schemas.openxmlformats.org/officeDocument/2006/relationships/hyperlink" Target="mailto:tender@waghindia.com" TargetMode="External"/><Relationship Id="rId387" Type="http://schemas.openxmlformats.org/officeDocument/2006/relationships/hyperlink" Target="https://drive.google.com/file/d/1cy_ltcFUV8gaHBZ8G3ydl8_45eHiw9_f/view?usp=drive_link" TargetMode="External"/><Relationship Id="rId510" Type="http://schemas.openxmlformats.org/officeDocument/2006/relationships/hyperlink" Target="mailto:tsplhq@trafitek.com" TargetMode="External"/><Relationship Id="rId552" Type="http://schemas.openxmlformats.org/officeDocument/2006/relationships/hyperlink" Target="mailto:sales@khushbooscientific.com" TargetMode="External"/><Relationship Id="rId594" Type="http://schemas.openxmlformats.org/officeDocument/2006/relationships/hyperlink" Target="mailto:suvaselectricals@gmail.com" TargetMode="External"/><Relationship Id="rId608" Type="http://schemas.openxmlformats.org/officeDocument/2006/relationships/hyperlink" Target="mailto:Shahsank.shah@vcme.co.in" TargetMode="External"/><Relationship Id="rId191" Type="http://schemas.openxmlformats.org/officeDocument/2006/relationships/hyperlink" Target="https://drive.google.com/file/d/1WYgPWs_ndbTYmyBuexQai8dfm6AeRuaT/view?usp=drive_link" TargetMode="External"/><Relationship Id="rId205" Type="http://schemas.openxmlformats.org/officeDocument/2006/relationships/hyperlink" Target="https://drive.google.com/file/d/16w2bM1-78unhCAV3luXNU_C6wm1tGFAv/view?usp=drive_link" TargetMode="External"/><Relationship Id="rId247" Type="http://schemas.openxmlformats.org/officeDocument/2006/relationships/hyperlink" Target="https://drive.google.com/file/d/1iZHrgwaIiSZf9JY5MtGqTPNRyS4wxkzD/view?usp=drive_link" TargetMode="External"/><Relationship Id="rId412" Type="http://schemas.openxmlformats.org/officeDocument/2006/relationships/hyperlink" Target="https://drive.google.com/file/d/1cy_ltcFUV8gaHBZ8G3ydl8_45eHiw9_f/view?usp=drive_link" TargetMode="External"/><Relationship Id="rId107" Type="http://schemas.openxmlformats.org/officeDocument/2006/relationships/hyperlink" Target="https://drive.google.com/file/d/1rq1GLAwk9qC1ZrOPwQpPKcjUpU4h-9d4/view?usp=drive_link" TargetMode="External"/><Relationship Id="rId289" Type="http://schemas.openxmlformats.org/officeDocument/2006/relationships/hyperlink" Target="https://drive.google.com/file/d/1ci0KOKryOYw7eVsVmYdusH9U4RcoUKb0/view?usp=drive_link" TargetMode="External"/><Relationship Id="rId454" Type="http://schemas.openxmlformats.org/officeDocument/2006/relationships/hyperlink" Target="https://drive.google.com/file/d/128_SE4e3uzJfRxRei5R5SE6v71ZkEyqC/view?usp=drive_link" TargetMode="External"/><Relationship Id="rId496" Type="http://schemas.openxmlformats.org/officeDocument/2006/relationships/hyperlink" Target="mailto:tsplhq@trafitek.com" TargetMode="External"/><Relationship Id="rId661" Type="http://schemas.openxmlformats.org/officeDocument/2006/relationships/hyperlink" Target="mailto:tsplhq@trafitek.com" TargetMode="External"/><Relationship Id="rId717" Type="http://schemas.openxmlformats.org/officeDocument/2006/relationships/hyperlink" Target="mailto:Contactus@friendsengg.in" TargetMode="External"/><Relationship Id="rId759" Type="http://schemas.openxmlformats.org/officeDocument/2006/relationships/hyperlink" Target="mailto:bhagirathinteriors@gmail.com" TargetMode="External"/><Relationship Id="rId11" Type="http://schemas.openxmlformats.org/officeDocument/2006/relationships/hyperlink" Target="https://drive.google.com/file/d/132lH8lvAoHH4EYP36fRxy5BPVwHN9HVS/view?usp=drive_link" TargetMode="External"/><Relationship Id="rId53" Type="http://schemas.openxmlformats.org/officeDocument/2006/relationships/hyperlink" Target="https://drive.google.com/file/d/1MqkiChVtbYDIanw0qKAn8rYfmLPs3xLu/view?usp=drive_link" TargetMode="External"/><Relationship Id="rId149" Type="http://schemas.openxmlformats.org/officeDocument/2006/relationships/hyperlink" Target="https://drive.google.com/file/d/1WN3xK0M1hPMuB7qqQkCsjipFjqG75HRj/view?usp=drive_link" TargetMode="External"/><Relationship Id="rId314" Type="http://schemas.openxmlformats.org/officeDocument/2006/relationships/hyperlink" Target="mailto:tender@waghindia.com" TargetMode="External"/><Relationship Id="rId356" Type="http://schemas.openxmlformats.org/officeDocument/2006/relationships/hyperlink" Target="https://drive.google.com/file/d/1yiSnZTLSoC2dPV9r8N5xH8bFqFsJiSah/view?usp=drive_link" TargetMode="External"/><Relationship Id="rId398" Type="http://schemas.openxmlformats.org/officeDocument/2006/relationships/hyperlink" Target="mailto:Pankaj@sfec.in" TargetMode="External"/><Relationship Id="rId521" Type="http://schemas.openxmlformats.org/officeDocument/2006/relationships/hyperlink" Target="mailto:c_27121980@rediffmail.com" TargetMode="External"/><Relationship Id="rId563" Type="http://schemas.openxmlformats.org/officeDocument/2006/relationships/hyperlink" Target="mailto:Contactus@friendsengg.in" TargetMode="External"/><Relationship Id="rId619" Type="http://schemas.openxmlformats.org/officeDocument/2006/relationships/hyperlink" Target="mailto:kasturisteelfurniture@gmail.com" TargetMode="External"/><Relationship Id="rId95" Type="http://schemas.openxmlformats.org/officeDocument/2006/relationships/hyperlink" Target="https://drive.google.com/file/d/1OWtKwbj9x3zs3ew8hyAnMN119UG7PSM3/view?usp=drive_link" TargetMode="External"/><Relationship Id="rId160" Type="http://schemas.openxmlformats.org/officeDocument/2006/relationships/hyperlink" Target="https://drive.google.com/file/d/1m2i5pT_ZL81wcGujvbTjgaqg2YmdR_R3/view?usp=drive_link" TargetMode="External"/><Relationship Id="rId216" Type="http://schemas.openxmlformats.org/officeDocument/2006/relationships/hyperlink" Target="https://drive.google.com/file/d/1g2glACysLqtonCVfDmPqsHGtNCrXXfyk/view?usp=drive_link" TargetMode="External"/><Relationship Id="rId423" Type="http://schemas.openxmlformats.org/officeDocument/2006/relationships/hyperlink" Target="mailto:bhagirathinteriors@gmail.com" TargetMode="External"/><Relationship Id="rId258" Type="http://schemas.openxmlformats.org/officeDocument/2006/relationships/hyperlink" Target="https://drive.google.com/file/d/1-hwY9ZwRXdvLtOVK_MjUAt0sM2DYuIrG/view?usp=drive_link" TargetMode="External"/><Relationship Id="rId465" Type="http://schemas.openxmlformats.org/officeDocument/2006/relationships/hyperlink" Target="mailto:tsplhq@trafitek.com" TargetMode="External"/><Relationship Id="rId630" Type="http://schemas.openxmlformats.org/officeDocument/2006/relationships/hyperlink" Target="mailto:bhagirathinteriors@gmail.com" TargetMode="External"/><Relationship Id="rId672" Type="http://schemas.openxmlformats.org/officeDocument/2006/relationships/hyperlink" Target="mailto:pjj.pec@gmail.com" TargetMode="External"/><Relationship Id="rId728" Type="http://schemas.openxmlformats.org/officeDocument/2006/relationships/hyperlink" Target="mailto:santajikadam@yahoo.co.in" TargetMode="External"/><Relationship Id="rId22" Type="http://schemas.openxmlformats.org/officeDocument/2006/relationships/hyperlink" Target="https://drive.google.com/file/d/1csybLySdku9uHgabCQ5LQyJ9CJFd3E0-/view?usp=drive_link" TargetMode="External"/><Relationship Id="rId64" Type="http://schemas.openxmlformats.org/officeDocument/2006/relationships/hyperlink" Target="https://drive.google.com/file/d/1BysGtfKLcdD1TZiOx8DW9-qc8PK7rZwW/view?usp=drive_link" TargetMode="External"/><Relationship Id="rId118" Type="http://schemas.openxmlformats.org/officeDocument/2006/relationships/hyperlink" Target="https://drive.google.com/file/d/11gweu_usXxN_dwXTewiZFLSn33JxGKvj/view?usp=drive_link" TargetMode="External"/><Relationship Id="rId325" Type="http://schemas.openxmlformats.org/officeDocument/2006/relationships/hyperlink" Target="mailto:tender@waghindia.com" TargetMode="External"/><Relationship Id="rId367" Type="http://schemas.openxmlformats.org/officeDocument/2006/relationships/hyperlink" Target="mailto:tender@waghindia.com" TargetMode="External"/><Relationship Id="rId532" Type="http://schemas.openxmlformats.org/officeDocument/2006/relationships/hyperlink" Target="mailto:kasturisteelfurniture@gmail.com" TargetMode="External"/><Relationship Id="rId574" Type="http://schemas.openxmlformats.org/officeDocument/2006/relationships/hyperlink" Target="mailto:Contactus@friendsengg.in" TargetMode="External"/><Relationship Id="rId171" Type="http://schemas.openxmlformats.org/officeDocument/2006/relationships/hyperlink" Target="https://drive.google.com/file/d/1TdYAsyAGqXoozhEXiCoGln61RxE9V2O1/view?usp=drive_link" TargetMode="External"/><Relationship Id="rId227" Type="http://schemas.openxmlformats.org/officeDocument/2006/relationships/hyperlink" Target="https://drive.google.com/file/d/1P6RHbX_6seT7m7UDxuueKZFQSlvn8lOC/view?usp=drive_link" TargetMode="External"/><Relationship Id="rId269" Type="http://schemas.openxmlformats.org/officeDocument/2006/relationships/hyperlink" Target="https://drive.google.com/file/d/1RDALsQD5IYY8oM2_xL7CXmTtXlbkPeoK/view?usp=drive_link" TargetMode="External"/><Relationship Id="rId434" Type="http://schemas.openxmlformats.org/officeDocument/2006/relationships/hyperlink" Target="mailto:kasturisteelfurniture@gmail.com" TargetMode="External"/><Relationship Id="rId476" Type="http://schemas.openxmlformats.org/officeDocument/2006/relationships/hyperlink" Target="mailto:tsplhq@trafitek.com" TargetMode="External"/><Relationship Id="rId641" Type="http://schemas.openxmlformats.org/officeDocument/2006/relationships/hyperlink" Target="mailto:suvaselectricals@gmail.com" TargetMode="External"/><Relationship Id="rId683" Type="http://schemas.openxmlformats.org/officeDocument/2006/relationships/hyperlink" Target="mailto:pjj.pec@gmail.com" TargetMode="External"/><Relationship Id="rId739" Type="http://schemas.openxmlformats.org/officeDocument/2006/relationships/hyperlink" Target="mailto:Manaelectric@gmail.com" TargetMode="External"/><Relationship Id="rId33" Type="http://schemas.openxmlformats.org/officeDocument/2006/relationships/hyperlink" Target="https://drive.google.com/file/d/187NVe3gJW4kxfhfMAzozv1LlWBuMaz0u/view?usp=drive_link" TargetMode="External"/><Relationship Id="rId129" Type="http://schemas.openxmlformats.org/officeDocument/2006/relationships/hyperlink" Target="mailto:Pankaj@sfec.in" TargetMode="External"/><Relationship Id="rId280" Type="http://schemas.openxmlformats.org/officeDocument/2006/relationships/hyperlink" Target="https://drive.google.com/file/d/14Nkaa7x0tmkx7kUkQBaK55Mtl4pI8lGr/view?usp=drive_link" TargetMode="External"/><Relationship Id="rId336" Type="http://schemas.openxmlformats.org/officeDocument/2006/relationships/hyperlink" Target="mailto:tender@waghindia.com" TargetMode="External"/><Relationship Id="rId501" Type="http://schemas.openxmlformats.org/officeDocument/2006/relationships/hyperlink" Target="mailto:tsplhq@trafitek.com" TargetMode="External"/><Relationship Id="rId543" Type="http://schemas.openxmlformats.org/officeDocument/2006/relationships/hyperlink" Target="mailto:computechgreen@gmail.com" TargetMode="External"/><Relationship Id="rId75" Type="http://schemas.openxmlformats.org/officeDocument/2006/relationships/hyperlink" Target="https://drive.google.com/file/d/1-jZIAaBFb38k8xu409RLw9fp6CneXuwr/view?usp=drive_link" TargetMode="External"/><Relationship Id="rId140" Type="http://schemas.openxmlformats.org/officeDocument/2006/relationships/hyperlink" Target="mailto:Pankaj@sfec.in" TargetMode="External"/><Relationship Id="rId182" Type="http://schemas.openxmlformats.org/officeDocument/2006/relationships/hyperlink" Target="https://drive.google.com/file/d/1Pe_73iGcvDOz2x0ZogM8n4ob7GDES8rQ/view?usp=drive_link" TargetMode="External"/><Relationship Id="rId378" Type="http://schemas.openxmlformats.org/officeDocument/2006/relationships/hyperlink" Target="mailto:Pankaj@sfec.in" TargetMode="External"/><Relationship Id="rId403" Type="http://schemas.openxmlformats.org/officeDocument/2006/relationships/hyperlink" Target="https://drive.google.com/file/d/1cy_ltcFUV8gaHBZ8G3ydl8_45eHiw9_f/view?usp=drive_link" TargetMode="External"/><Relationship Id="rId585" Type="http://schemas.openxmlformats.org/officeDocument/2006/relationships/hyperlink" Target="mailto:suvaselectricals@gmail.com" TargetMode="External"/><Relationship Id="rId750" Type="http://schemas.openxmlformats.org/officeDocument/2006/relationships/hyperlink" Target="mailto:Sales@gostorageracks.com" TargetMode="External"/><Relationship Id="rId6" Type="http://schemas.openxmlformats.org/officeDocument/2006/relationships/hyperlink" Target="mailto:bhagirathinteriors@gmail.com" TargetMode="External"/><Relationship Id="rId238" Type="http://schemas.openxmlformats.org/officeDocument/2006/relationships/hyperlink" Target="https://drive.google.com/file/d/1FmxvLOCDMMhkIqn4bWPY7wQMorsyULDy/view?usp=drive_link" TargetMode="External"/><Relationship Id="rId445" Type="http://schemas.openxmlformats.org/officeDocument/2006/relationships/hyperlink" Target="https://drive.google.com/file/d/1DLgubCeRsHGECa0Phdp0iM1E3PwR7Ji1/view?usp=drive_link" TargetMode="External"/><Relationship Id="rId487" Type="http://schemas.openxmlformats.org/officeDocument/2006/relationships/hyperlink" Target="mailto:tsplhq@trafitek.com" TargetMode="External"/><Relationship Id="rId610" Type="http://schemas.openxmlformats.org/officeDocument/2006/relationships/hyperlink" Target="mailto:Shahsank.shah@vcme.co.in" TargetMode="External"/><Relationship Id="rId652" Type="http://schemas.openxmlformats.org/officeDocument/2006/relationships/hyperlink" Target="mailto:suvaselectricals@gmail.com" TargetMode="External"/><Relationship Id="rId694" Type="http://schemas.openxmlformats.org/officeDocument/2006/relationships/hyperlink" Target="mailto:suvaselectricals@gmail.com" TargetMode="External"/><Relationship Id="rId708" Type="http://schemas.openxmlformats.org/officeDocument/2006/relationships/hyperlink" Target="mailto:achalaee@gamil.com" TargetMode="External"/><Relationship Id="rId291" Type="http://schemas.openxmlformats.org/officeDocument/2006/relationships/hyperlink" Target="https://drive.google.com/file/d/11j18-uo9QRi9fLC60kj7lIe-uh-BYU_i/view?usp=drive_link" TargetMode="External"/><Relationship Id="rId305" Type="http://schemas.openxmlformats.org/officeDocument/2006/relationships/hyperlink" Target="https://drive.google.com/file/d/1wx0o-1DNSkEfsPOPg3zfjVx8yTsZ_bT_/view?usp=drive_link" TargetMode="External"/><Relationship Id="rId347" Type="http://schemas.openxmlformats.org/officeDocument/2006/relationships/hyperlink" Target="mailto:bhagirathinteriors@gmail.com" TargetMode="External"/><Relationship Id="rId512" Type="http://schemas.openxmlformats.org/officeDocument/2006/relationships/hyperlink" Target="mailto:tsplhq@trafitek.com" TargetMode="External"/><Relationship Id="rId44" Type="http://schemas.openxmlformats.org/officeDocument/2006/relationships/hyperlink" Target="https://drive.google.com/file/d/1FjLL_4rJ9qlTg5WibTzK2SYmDoQxHkS-/view?usp=drive_link" TargetMode="External"/><Relationship Id="rId86" Type="http://schemas.openxmlformats.org/officeDocument/2006/relationships/hyperlink" Target="https://drive.google.com/file/d/1rCBkAEa9v6zADZLiTW8UCfNIFTfnPV-i/view?usp=drive_link" TargetMode="External"/><Relationship Id="rId151" Type="http://schemas.openxmlformats.org/officeDocument/2006/relationships/hyperlink" Target="https://drive.google.com/file/d/14QXuCN7us5FCLYO4eLGqJPXw04PAlCbv/view?usp=drive_link" TargetMode="External"/><Relationship Id="rId389" Type="http://schemas.openxmlformats.org/officeDocument/2006/relationships/hyperlink" Target="https://drive.google.com/file/d/1cy_ltcFUV8gaHBZ8G3ydl8_45eHiw9_f/view?usp=drive_link" TargetMode="External"/><Relationship Id="rId554" Type="http://schemas.openxmlformats.org/officeDocument/2006/relationships/hyperlink" Target="mailto:tender@waghindia.com" TargetMode="External"/><Relationship Id="rId596" Type="http://schemas.openxmlformats.org/officeDocument/2006/relationships/hyperlink" Target="mailto:tsplhq@trafitek.com" TargetMode="External"/><Relationship Id="rId761" Type="http://schemas.openxmlformats.org/officeDocument/2006/relationships/hyperlink" Target="mailto:hitechnm2@gmail.com" TargetMode="External"/><Relationship Id="rId193" Type="http://schemas.openxmlformats.org/officeDocument/2006/relationships/hyperlink" Target="https://drive.google.com/file/d/1jtUGA7_xTw6AGSYxiIaLzA9TAOoLwuE_/view?usp=drive_link" TargetMode="External"/><Relationship Id="rId207" Type="http://schemas.openxmlformats.org/officeDocument/2006/relationships/hyperlink" Target="https://drive.google.com/file/d/1ZvhPeZ4VYqb8IWrCR0mSdPFP6dWlz0I_/view?usp=drive_link" TargetMode="External"/><Relationship Id="rId249" Type="http://schemas.openxmlformats.org/officeDocument/2006/relationships/hyperlink" Target="https://drive.google.com/file/d/18KtnydBlPRs2PjbeJS8ZTVUBR5fL0zhm/view?usp=drive_link" TargetMode="External"/><Relationship Id="rId414" Type="http://schemas.openxmlformats.org/officeDocument/2006/relationships/hyperlink" Target="https://drive.google.com/file/d/1cy_ltcFUV8gaHBZ8G3ydl8_45eHiw9_f/view?usp=drive_link" TargetMode="External"/><Relationship Id="rId456" Type="http://schemas.openxmlformats.org/officeDocument/2006/relationships/hyperlink" Target="https://drive.google.com/file/d/1Si-9dpB2Qs-bs5aEcVN99b8ohd6C9NJJ/view?usp=drive_link" TargetMode="External"/><Relationship Id="rId498" Type="http://schemas.openxmlformats.org/officeDocument/2006/relationships/hyperlink" Target="mailto:tsplhq@trafitek.com" TargetMode="External"/><Relationship Id="rId621" Type="http://schemas.openxmlformats.org/officeDocument/2006/relationships/hyperlink" Target="mailto:kasturisteelfurniture@gmail.com" TargetMode="External"/><Relationship Id="rId663" Type="http://schemas.openxmlformats.org/officeDocument/2006/relationships/hyperlink" Target="mailto:tsplhq@trafitek.com" TargetMode="External"/><Relationship Id="rId13" Type="http://schemas.openxmlformats.org/officeDocument/2006/relationships/hyperlink" Target="https://drive.google.com/file/d/1VxxVWnpa26oP8PR1EwEI6Ghqyae0J9v1/view?usp=drive_link" TargetMode="External"/><Relationship Id="rId109" Type="http://schemas.openxmlformats.org/officeDocument/2006/relationships/hyperlink" Target="https://drive.google.com/file/d/1txc-L730e0E1mRMTb0Jd2ldIKRI6d8yK/view?usp=drive_link" TargetMode="External"/><Relationship Id="rId260" Type="http://schemas.openxmlformats.org/officeDocument/2006/relationships/hyperlink" Target="https://drive.google.com/file/d/10o4SZf8dsd4b_SbHSzlSjcGbixVGfqQS/view?usp=drive_link" TargetMode="External"/><Relationship Id="rId316" Type="http://schemas.openxmlformats.org/officeDocument/2006/relationships/hyperlink" Target="mailto:tender@waghindia.com" TargetMode="External"/><Relationship Id="rId523" Type="http://schemas.openxmlformats.org/officeDocument/2006/relationships/hyperlink" Target="mailto:bhagirathinteriors@gmail.com" TargetMode="External"/><Relationship Id="rId719" Type="http://schemas.openxmlformats.org/officeDocument/2006/relationships/hyperlink" Target="mailto:santajikadam@yahoo.co.in" TargetMode="External"/><Relationship Id="rId55" Type="http://schemas.openxmlformats.org/officeDocument/2006/relationships/hyperlink" Target="https://drive.google.com/file/d/1Nc_m56vrMD1yx3MYqvZOjEjlSa9lP4h5/view?usp=drive_link" TargetMode="External"/><Relationship Id="rId97" Type="http://schemas.openxmlformats.org/officeDocument/2006/relationships/hyperlink" Target="https://drive.google.com/file/d/1PHKKxllTdoU8fkUIA5p7R28jWdY4aWoE/view?usp=drive_link" TargetMode="External"/><Relationship Id="rId120" Type="http://schemas.openxmlformats.org/officeDocument/2006/relationships/hyperlink" Target="https://drive.google.com/file/d/1Y-GXm0cVowMXx8bDYB_IpZ-EM2GLzHqN/view?usp=drive_link" TargetMode="External"/><Relationship Id="rId358" Type="http://schemas.openxmlformats.org/officeDocument/2006/relationships/hyperlink" Target="mailto:tender@waghindia.com" TargetMode="External"/><Relationship Id="rId565" Type="http://schemas.openxmlformats.org/officeDocument/2006/relationships/hyperlink" Target="mailto:Contactus@friendsengg.in" TargetMode="External"/><Relationship Id="rId730" Type="http://schemas.openxmlformats.org/officeDocument/2006/relationships/hyperlink" Target="mailto:santajikadam@yahoo.co.in" TargetMode="External"/><Relationship Id="rId162" Type="http://schemas.openxmlformats.org/officeDocument/2006/relationships/hyperlink" Target="https://drive.google.com/file/d/1Jh4R69NXuAtD_WZcoqcwCBXljydeWFCX/view?usp=drive_link" TargetMode="External"/><Relationship Id="rId218" Type="http://schemas.openxmlformats.org/officeDocument/2006/relationships/hyperlink" Target="https://drive.google.com/file/d/1XY305fb8zYgRaWQwHm38B1frRuy5Q7vk/view?usp=drive_link" TargetMode="External"/><Relationship Id="rId425" Type="http://schemas.openxmlformats.org/officeDocument/2006/relationships/hyperlink" Target="mailto:bhagirathinteriors@gmail.com" TargetMode="External"/><Relationship Id="rId467" Type="http://schemas.openxmlformats.org/officeDocument/2006/relationships/hyperlink" Target="mailto:tsplhq@trafitek.com" TargetMode="External"/><Relationship Id="rId632" Type="http://schemas.openxmlformats.org/officeDocument/2006/relationships/hyperlink" Target="mailto:tender@waghindia.com" TargetMode="External"/><Relationship Id="rId271" Type="http://schemas.openxmlformats.org/officeDocument/2006/relationships/hyperlink" Target="https://drive.google.com/file/d/1mAmPGAPaDo8PR0Y6ykVrEC_Qx8ieEcZW/view?usp=drive_link" TargetMode="External"/><Relationship Id="rId674" Type="http://schemas.openxmlformats.org/officeDocument/2006/relationships/hyperlink" Target="mailto:pjj.pec@gmail.com" TargetMode="External"/><Relationship Id="rId24" Type="http://schemas.openxmlformats.org/officeDocument/2006/relationships/hyperlink" Target="https://drive.google.com/file/d/1w2IQk9LyLL_E8XtNxdZqLmzd4g01mYGg/view?usp=drive_link" TargetMode="External"/><Relationship Id="rId66" Type="http://schemas.openxmlformats.org/officeDocument/2006/relationships/hyperlink" Target="https://drive.google.com/file/d/1fp5YRcgugQkZMBa6Q0MvFxQXmZNkdUYQ/view?usp=drive_link" TargetMode="External"/><Relationship Id="rId131" Type="http://schemas.openxmlformats.org/officeDocument/2006/relationships/hyperlink" Target="https://drive.google.com/file/d/1xQzo-RhurruCL4aJKvopfcnqmIx8i-it/view?usp=drive_link" TargetMode="External"/><Relationship Id="rId327" Type="http://schemas.openxmlformats.org/officeDocument/2006/relationships/hyperlink" Target="mailto:tender@waghindia.com" TargetMode="External"/><Relationship Id="rId369" Type="http://schemas.openxmlformats.org/officeDocument/2006/relationships/hyperlink" Target="mailto:tender@waghindia.com" TargetMode="External"/><Relationship Id="rId534" Type="http://schemas.openxmlformats.org/officeDocument/2006/relationships/hyperlink" Target="mailto:computechgreen@gmail.com" TargetMode="External"/><Relationship Id="rId576" Type="http://schemas.openxmlformats.org/officeDocument/2006/relationships/hyperlink" Target="mailto:Contactus@friendsengg.in" TargetMode="External"/><Relationship Id="rId741" Type="http://schemas.openxmlformats.org/officeDocument/2006/relationships/hyperlink" Target="mailto:smpolymer@gmail.com" TargetMode="External"/><Relationship Id="rId173" Type="http://schemas.openxmlformats.org/officeDocument/2006/relationships/hyperlink" Target="https://drive.google.com/file/d/1G8nTUhraNNBt28ZpDRn9Tr8nlftlpprK/view?usp=drive_link" TargetMode="External"/><Relationship Id="rId229" Type="http://schemas.openxmlformats.org/officeDocument/2006/relationships/hyperlink" Target="https://drive.google.com/file/d/1MqDryQcVAPc42yUrSUuQnKLoyas9cuFf/view?usp=drive_link" TargetMode="External"/><Relationship Id="rId380" Type="http://schemas.openxmlformats.org/officeDocument/2006/relationships/hyperlink" Target="mailto:Pankaj@sfec.in" TargetMode="External"/><Relationship Id="rId436" Type="http://schemas.openxmlformats.org/officeDocument/2006/relationships/hyperlink" Target="mailto:bhagirathinteriors@gmail.com" TargetMode="External"/><Relationship Id="rId601" Type="http://schemas.openxmlformats.org/officeDocument/2006/relationships/hyperlink" Target="mailto:suvaselectricals@gmail.com" TargetMode="External"/><Relationship Id="rId643" Type="http://schemas.openxmlformats.org/officeDocument/2006/relationships/hyperlink" Target="mailto:suvaselectricals@gmail.com" TargetMode="External"/><Relationship Id="rId240" Type="http://schemas.openxmlformats.org/officeDocument/2006/relationships/hyperlink" Target="https://drive.google.com/file/d/1DENP_M7DyFjmJD5ukE3PCaTpc3arQAI7/view?usp=drive_link" TargetMode="External"/><Relationship Id="rId478" Type="http://schemas.openxmlformats.org/officeDocument/2006/relationships/hyperlink" Target="mailto:tsplhq@trafitek.com" TargetMode="External"/><Relationship Id="rId685" Type="http://schemas.openxmlformats.org/officeDocument/2006/relationships/hyperlink" Target="mailto:pjj.pec@gmail.com" TargetMode="External"/><Relationship Id="rId35" Type="http://schemas.openxmlformats.org/officeDocument/2006/relationships/hyperlink" Target="https://drive.google.com/file/d/1fdVTfMbLVJm0odyktghXZkxWHOFuBo4J/view?usp=drive_link" TargetMode="External"/><Relationship Id="rId77" Type="http://schemas.openxmlformats.org/officeDocument/2006/relationships/hyperlink" Target="https://drive.google.com/file/d/1IjXp-ihIFmK17z0e5W1CktAwhNHymDPe/view?usp=drive_link" TargetMode="External"/><Relationship Id="rId100" Type="http://schemas.openxmlformats.org/officeDocument/2006/relationships/hyperlink" Target="https://drive.google.com/file/d/1qLQ3Put9KxKoxkcEm_eSwnvh4GoJWPCj/view?usp=drive_link" TargetMode="External"/><Relationship Id="rId282" Type="http://schemas.openxmlformats.org/officeDocument/2006/relationships/hyperlink" Target="https://drive.google.com/file/d/1Jf2kdI7u6Xni1-NM7dK1blmfyoJRjeWl/view?usp=sharing" TargetMode="External"/><Relationship Id="rId338" Type="http://schemas.openxmlformats.org/officeDocument/2006/relationships/hyperlink" Target="mailto:tender@waghindia.com" TargetMode="External"/><Relationship Id="rId503" Type="http://schemas.openxmlformats.org/officeDocument/2006/relationships/hyperlink" Target="mailto:tsplhq@trafitek.com" TargetMode="External"/><Relationship Id="rId545" Type="http://schemas.openxmlformats.org/officeDocument/2006/relationships/hyperlink" Target="mailto:computechgreen@gmail.com" TargetMode="External"/><Relationship Id="rId587" Type="http://schemas.openxmlformats.org/officeDocument/2006/relationships/hyperlink" Target="mailto:suvaselectricals@gmail.com" TargetMode="External"/><Relationship Id="rId710" Type="http://schemas.openxmlformats.org/officeDocument/2006/relationships/hyperlink" Target="mailto:achalaee@gamil.com" TargetMode="External"/><Relationship Id="rId752" Type="http://schemas.openxmlformats.org/officeDocument/2006/relationships/hyperlink" Target="mailto:bhagirathinteriors@gmail.com" TargetMode="External"/><Relationship Id="rId8" Type="http://schemas.openxmlformats.org/officeDocument/2006/relationships/hyperlink" Target="mailto:contact@jpservices.co.in" TargetMode="External"/><Relationship Id="rId142" Type="http://schemas.openxmlformats.org/officeDocument/2006/relationships/hyperlink" Target="mailto:Pankaj@sfec.in" TargetMode="External"/><Relationship Id="rId184" Type="http://schemas.openxmlformats.org/officeDocument/2006/relationships/hyperlink" Target="https://drive.google.com/file/d/1y3bvPzFoZX1RH6In2XaNsFlH2pJgdMRY/view?usp=drive_link" TargetMode="External"/><Relationship Id="rId391" Type="http://schemas.openxmlformats.org/officeDocument/2006/relationships/hyperlink" Target="https://drive.google.com/file/d/1cy_ltcFUV8gaHBZ8G3ydl8_45eHiw9_f/view?usp=drive_link" TargetMode="External"/><Relationship Id="rId405" Type="http://schemas.openxmlformats.org/officeDocument/2006/relationships/hyperlink" Target="https://drive.google.com/file/d/1cy_ltcFUV8gaHBZ8G3ydl8_45eHiw9_f/view?usp=drive_link" TargetMode="External"/><Relationship Id="rId447" Type="http://schemas.openxmlformats.org/officeDocument/2006/relationships/hyperlink" Target="https://drive.google.com/file/d/1xDy6eTyvo06UcD9jseIOc9Fv0sSCEjx5/view?usp=drive_link" TargetMode="External"/><Relationship Id="rId612" Type="http://schemas.openxmlformats.org/officeDocument/2006/relationships/hyperlink" Target="mailto:Shahsank.shah@vcme.co.in" TargetMode="External"/><Relationship Id="rId251" Type="http://schemas.openxmlformats.org/officeDocument/2006/relationships/hyperlink" Target="https://drive.google.com/file/d/1AbIZ94droJEtamsdIpYusaPMikshFV2l/view?usp=drive_link" TargetMode="External"/><Relationship Id="rId489" Type="http://schemas.openxmlformats.org/officeDocument/2006/relationships/hyperlink" Target="mailto:tsplhq@trafitek.com" TargetMode="External"/><Relationship Id="rId654" Type="http://schemas.openxmlformats.org/officeDocument/2006/relationships/hyperlink" Target="mailto:suvaselectricals@gmail.com" TargetMode="External"/><Relationship Id="rId696" Type="http://schemas.openxmlformats.org/officeDocument/2006/relationships/hyperlink" Target="mailto:achalaee@gamil.com" TargetMode="External"/><Relationship Id="rId46" Type="http://schemas.openxmlformats.org/officeDocument/2006/relationships/hyperlink" Target="https://drive.google.com/file/d/10rbwBOChOHWAq2pWd308siIMKtZGR2Tm/view?usp=drive_link" TargetMode="External"/><Relationship Id="rId293" Type="http://schemas.openxmlformats.org/officeDocument/2006/relationships/hyperlink" Target="mailto:bhagirathinteriors@gmail.com" TargetMode="External"/><Relationship Id="rId307" Type="http://schemas.openxmlformats.org/officeDocument/2006/relationships/hyperlink" Target="https://drive.google.com/file/d/1wx0o-1DNSkEfsPOPg3zfjVx8yTsZ_bT_/view?usp=drive_link" TargetMode="External"/><Relationship Id="rId349" Type="http://schemas.openxmlformats.org/officeDocument/2006/relationships/hyperlink" Target="mailto:bhagirathinteriors@gmail.com" TargetMode="External"/><Relationship Id="rId514" Type="http://schemas.openxmlformats.org/officeDocument/2006/relationships/hyperlink" Target="mailto:tsplhq@trafitek.com" TargetMode="External"/><Relationship Id="rId556" Type="http://schemas.openxmlformats.org/officeDocument/2006/relationships/hyperlink" Target="mailto:tender@waghindia.com" TargetMode="External"/><Relationship Id="rId721" Type="http://schemas.openxmlformats.org/officeDocument/2006/relationships/hyperlink" Target="mailto:santajikadam@yahoo.co.in" TargetMode="External"/><Relationship Id="rId763" Type="http://schemas.openxmlformats.org/officeDocument/2006/relationships/hyperlink" Target="mailto:hitechnm2@gmail.com" TargetMode="External"/><Relationship Id="rId88" Type="http://schemas.openxmlformats.org/officeDocument/2006/relationships/hyperlink" Target="https://drive.google.com/file/d/1LZExtdyY_cEOgMYub_gdhfB-OaBvUxeL/view?usp=drive_link" TargetMode="External"/><Relationship Id="rId111" Type="http://schemas.openxmlformats.org/officeDocument/2006/relationships/hyperlink" Target="https://drive.google.com/file/d/16aM-45mKD4rn093GxHqdXqyUkKgXx0H2/view?usp=drive_link" TargetMode="External"/><Relationship Id="rId153" Type="http://schemas.openxmlformats.org/officeDocument/2006/relationships/hyperlink" Target="https://drive.google.com/file/d/1Yi-yRDvWL1aF7K-m7fUFwEni_jnqLqmc/view?usp=drive_link" TargetMode="External"/><Relationship Id="rId195" Type="http://schemas.openxmlformats.org/officeDocument/2006/relationships/hyperlink" Target="https://drive.google.com/file/d/12Det5-Kc3J5GXHIcIW5Ar4BUqHvk_7z8/view?usp=drive_link" TargetMode="External"/><Relationship Id="rId209" Type="http://schemas.openxmlformats.org/officeDocument/2006/relationships/hyperlink" Target="https://drive.google.com/file/d/1CZo-raxUEOf1kfn8HheEGS61qi0Zrrcw/view?usp=drive_link" TargetMode="External"/><Relationship Id="rId360" Type="http://schemas.openxmlformats.org/officeDocument/2006/relationships/hyperlink" Target="mailto:tender@waghindia.com" TargetMode="External"/><Relationship Id="rId416" Type="http://schemas.openxmlformats.org/officeDocument/2006/relationships/hyperlink" Target="https://drive.google.com/file/d/1cy_ltcFUV8gaHBZ8G3ydl8_45eHiw9_f/view?usp=drive_link" TargetMode="External"/><Relationship Id="rId598" Type="http://schemas.openxmlformats.org/officeDocument/2006/relationships/hyperlink" Target="mailto:tsplhq@trafitek.com" TargetMode="External"/><Relationship Id="rId220" Type="http://schemas.openxmlformats.org/officeDocument/2006/relationships/hyperlink" Target="https://drive.google.com/file/d/1-cCtjMIcTPhVQOP7iUx9HCTEEYtZ4-3r/view?usp=drive_link" TargetMode="External"/><Relationship Id="rId458" Type="http://schemas.openxmlformats.org/officeDocument/2006/relationships/hyperlink" Target="mailto:Manaelectric@gmail.com" TargetMode="External"/><Relationship Id="rId623" Type="http://schemas.openxmlformats.org/officeDocument/2006/relationships/hyperlink" Target="mailto:suvaselectricals@gmail.com" TargetMode="External"/><Relationship Id="rId665" Type="http://schemas.openxmlformats.org/officeDocument/2006/relationships/hyperlink" Target="https://1drv.ms/i/c/ee2ef1c9a818ec52/IQAri8SzGVqSTrHNn-fyTJwjAVeal6JCRMGFRSUrWcuS8t8?e=QTeeUf" TargetMode="External"/><Relationship Id="rId15" Type="http://schemas.openxmlformats.org/officeDocument/2006/relationships/hyperlink" Target="https://drive.google.com/file/d/1sPGWyhp8YMv9FWZLypLix2th7vQ2S2g6/view?usp=drive_link" TargetMode="External"/><Relationship Id="rId57" Type="http://schemas.openxmlformats.org/officeDocument/2006/relationships/hyperlink" Target="https://drive.google.com/file/d/17FIoiGrq0-_PrFFe6KYMPs2TmmVkbIFb/view?usp=drive_link" TargetMode="External"/><Relationship Id="rId262" Type="http://schemas.openxmlformats.org/officeDocument/2006/relationships/hyperlink" Target="https://drive.google.com/file/d/17VCxIFb6bF0_I4Kr6xvhXRipGGp8BHkB/view?usp=drive_link" TargetMode="External"/><Relationship Id="rId318" Type="http://schemas.openxmlformats.org/officeDocument/2006/relationships/hyperlink" Target="mailto:tender@waghindia.com" TargetMode="External"/><Relationship Id="rId525" Type="http://schemas.openxmlformats.org/officeDocument/2006/relationships/hyperlink" Target="mailto:bhagirathinteriors@gmail.com" TargetMode="External"/><Relationship Id="rId567" Type="http://schemas.openxmlformats.org/officeDocument/2006/relationships/hyperlink" Target="mailto:Contactus@friendsengg.in" TargetMode="External"/><Relationship Id="rId732" Type="http://schemas.openxmlformats.org/officeDocument/2006/relationships/hyperlink" Target="mailto:santajikadam@yahoo.co.in" TargetMode="External"/><Relationship Id="rId99" Type="http://schemas.openxmlformats.org/officeDocument/2006/relationships/hyperlink" Target="https://drive.google.com/file/d/1a76V2updDUP0xFOpnFYzKpLX-uoZGLN1/view?usp=drive_link" TargetMode="External"/><Relationship Id="rId122" Type="http://schemas.openxmlformats.org/officeDocument/2006/relationships/hyperlink" Target="https://drive.google.com/file/d/1mGkQ18oqGxDBaHuktpoZA1mS15YLs7bW/view?usp=drive_link" TargetMode="External"/><Relationship Id="rId164" Type="http://schemas.openxmlformats.org/officeDocument/2006/relationships/hyperlink" Target="mailto:globalentp13@gmail.com" TargetMode="External"/><Relationship Id="rId371" Type="http://schemas.openxmlformats.org/officeDocument/2006/relationships/hyperlink" Target="mailto:tender@waghindia.com" TargetMode="External"/><Relationship Id="rId427" Type="http://schemas.openxmlformats.org/officeDocument/2006/relationships/hyperlink" Target="mailto:bhagirathinteriors@gmail.com" TargetMode="External"/><Relationship Id="rId469" Type="http://schemas.openxmlformats.org/officeDocument/2006/relationships/hyperlink" Target="mailto:tsplhq@trafitek.com" TargetMode="External"/><Relationship Id="rId634" Type="http://schemas.openxmlformats.org/officeDocument/2006/relationships/hyperlink" Target="mailto:Contactus@friendsengg.in" TargetMode="External"/><Relationship Id="rId676" Type="http://schemas.openxmlformats.org/officeDocument/2006/relationships/hyperlink" Target="mailto:pjj.pec@gmail.com" TargetMode="External"/><Relationship Id="rId26" Type="http://schemas.openxmlformats.org/officeDocument/2006/relationships/hyperlink" Target="https://drive.google.com/file/d/15Gy9G5bGrCyd2RSfRAtsamXdcJN_seoi/view?usp=drive_link" TargetMode="External"/><Relationship Id="rId231" Type="http://schemas.openxmlformats.org/officeDocument/2006/relationships/hyperlink" Target="https://drive.google.com/file/d/1n7xDfEK3ee3K4OHVNmGWL3N80tjU7CRl/view?usp=drive_link" TargetMode="External"/><Relationship Id="rId273" Type="http://schemas.openxmlformats.org/officeDocument/2006/relationships/hyperlink" Target="https://drive.google.com/file/d/1L14uUTs55ie_xgQAkTqDkuf_mktg3SB-/view?usp=drive_link" TargetMode="External"/><Relationship Id="rId329" Type="http://schemas.openxmlformats.org/officeDocument/2006/relationships/hyperlink" Target="mailto:tender@waghindia.com" TargetMode="External"/><Relationship Id="rId480" Type="http://schemas.openxmlformats.org/officeDocument/2006/relationships/hyperlink" Target="mailto:tsplhq@trafitek.com" TargetMode="External"/><Relationship Id="rId536" Type="http://schemas.openxmlformats.org/officeDocument/2006/relationships/hyperlink" Target="https://drive.google.com/file/d/132lH8lvAoHH4EYP36fRxy5BPVwHN9HVS/view?usp=drive_link" TargetMode="External"/><Relationship Id="rId701" Type="http://schemas.openxmlformats.org/officeDocument/2006/relationships/hyperlink" Target="mailto:achalaee@gamil.com" TargetMode="External"/><Relationship Id="rId68" Type="http://schemas.openxmlformats.org/officeDocument/2006/relationships/hyperlink" Target="https://drive.google.com/file/d/1gVwmq99QSBQ7IlgR7BF7TCMTmS0rdd32/view?usp=drive_link" TargetMode="External"/><Relationship Id="rId133" Type="http://schemas.openxmlformats.org/officeDocument/2006/relationships/hyperlink" Target="https://drive.google.com/file/d/1Koklc71c9-yMpAvRegM-f8Jlu1RjH7GD/view?usp=drive_link" TargetMode="External"/><Relationship Id="rId175" Type="http://schemas.openxmlformats.org/officeDocument/2006/relationships/hyperlink" Target="https://drive.google.com/file/d/1gslkR5Uffm5ry_HOUP0QuCI1zLrjBz_m/view?usp=drive_link" TargetMode="External"/><Relationship Id="rId340" Type="http://schemas.openxmlformats.org/officeDocument/2006/relationships/hyperlink" Target="mailto:tender@waghindia.com" TargetMode="External"/><Relationship Id="rId578" Type="http://schemas.openxmlformats.org/officeDocument/2006/relationships/hyperlink" Target="mailto:Contactus@friendsengg.in" TargetMode="External"/><Relationship Id="rId743" Type="http://schemas.openxmlformats.org/officeDocument/2006/relationships/hyperlink" Target="mailto:pjj.pec@gmail.com" TargetMode="External"/><Relationship Id="rId200" Type="http://schemas.openxmlformats.org/officeDocument/2006/relationships/hyperlink" Target="https://drive.google.com/file/d/1yYFGtixfHZ_Lhfgs7Ci9gL4nLgZeUk9D/view?usp=drive_link" TargetMode="External"/><Relationship Id="rId382" Type="http://schemas.openxmlformats.org/officeDocument/2006/relationships/hyperlink" Target="mailto:Pankaj@sfec.in" TargetMode="External"/><Relationship Id="rId438" Type="http://schemas.openxmlformats.org/officeDocument/2006/relationships/hyperlink" Target="https://drive.google.com/file/d/12xzeFK-no4jhDt7cEyEsaAvsQPLgKhCR/view?usp=drive_link" TargetMode="External"/><Relationship Id="rId603" Type="http://schemas.openxmlformats.org/officeDocument/2006/relationships/hyperlink" Target="mailto:suvaselectricals@gmail.com" TargetMode="External"/><Relationship Id="rId645" Type="http://schemas.openxmlformats.org/officeDocument/2006/relationships/hyperlink" Target="mailto:suvaselectricals@gmail.com" TargetMode="External"/><Relationship Id="rId687" Type="http://schemas.openxmlformats.org/officeDocument/2006/relationships/hyperlink" Target="mailto:pjj.pec@gmail.com" TargetMode="External"/><Relationship Id="rId242" Type="http://schemas.openxmlformats.org/officeDocument/2006/relationships/hyperlink" Target="https://drive.google.com/file/d/1fmtpl5YNWVZpC0LPLLfDYdIx39qwvE9-/view?usp=drive_link" TargetMode="External"/><Relationship Id="rId284" Type="http://schemas.openxmlformats.org/officeDocument/2006/relationships/hyperlink" Target="https://drive.google.com/file/d/1nhuFRQnrgc-FPMglBA3-upV5n7k2cXe1/view?usp=drive_link" TargetMode="External"/><Relationship Id="rId491" Type="http://schemas.openxmlformats.org/officeDocument/2006/relationships/hyperlink" Target="mailto:tsplhq@trafitek.com" TargetMode="External"/><Relationship Id="rId505" Type="http://schemas.openxmlformats.org/officeDocument/2006/relationships/hyperlink" Target="mailto:tsplhq@trafitek.com" TargetMode="External"/><Relationship Id="rId712" Type="http://schemas.openxmlformats.org/officeDocument/2006/relationships/hyperlink" Target="mailto:Contactus@friendsengg.in" TargetMode="External"/><Relationship Id="rId37" Type="http://schemas.openxmlformats.org/officeDocument/2006/relationships/hyperlink" Target="https://drive.google.com/file/d/1OYb9E8McXsr5xBzIEt9WQYtP5IzwVX7V/view?usp=drive_link" TargetMode="External"/><Relationship Id="rId79" Type="http://schemas.openxmlformats.org/officeDocument/2006/relationships/hyperlink" Target="https://drive.google.com/file/d/1nBzWZ6PVNQV3g3l7L2Rsx7-ueQKPZzhi/view?usp=drive_link" TargetMode="External"/><Relationship Id="rId102" Type="http://schemas.openxmlformats.org/officeDocument/2006/relationships/hyperlink" Target="https://drive.google.com/file/d/1AcUkKWqol0MO2FLcxYUepFrw6AyxARK5/view?usp=drive_link" TargetMode="External"/><Relationship Id="rId144" Type="http://schemas.openxmlformats.org/officeDocument/2006/relationships/hyperlink" Target="https://drive.google.com/file/d/1q8w1C-_RkckZ5fpDY24qGXIykKUQgmgb/view?usp=drive_link" TargetMode="External"/><Relationship Id="rId547" Type="http://schemas.openxmlformats.org/officeDocument/2006/relationships/hyperlink" Target="mailto:bhagirathinteriors@gmail.com" TargetMode="External"/><Relationship Id="rId589" Type="http://schemas.openxmlformats.org/officeDocument/2006/relationships/hyperlink" Target="mailto:suvaselectricals@gmail.com" TargetMode="External"/><Relationship Id="rId754" Type="http://schemas.openxmlformats.org/officeDocument/2006/relationships/hyperlink" Target="mailto:bhagirathinteriors@gmail.com" TargetMode="External"/><Relationship Id="rId90" Type="http://schemas.openxmlformats.org/officeDocument/2006/relationships/hyperlink" Target="mailto:Pankaj@sfec.in" TargetMode="External"/><Relationship Id="rId186" Type="http://schemas.openxmlformats.org/officeDocument/2006/relationships/hyperlink" Target="https://drive.google.com/file/d/1nAT8u7n8rjKkwbcuZlQ8IvX4TJAFn4Ks/view?usp=drive_link" TargetMode="External"/><Relationship Id="rId351" Type="http://schemas.openxmlformats.org/officeDocument/2006/relationships/hyperlink" Target="mailto:laxmikop@gmail.com" TargetMode="External"/><Relationship Id="rId393" Type="http://schemas.openxmlformats.org/officeDocument/2006/relationships/hyperlink" Target="https://drive.google.com/file/d/1cy_ltcFUV8gaHBZ8G3ydl8_45eHiw9_f/view?usp=drive_link" TargetMode="External"/><Relationship Id="rId407" Type="http://schemas.openxmlformats.org/officeDocument/2006/relationships/hyperlink" Target="https://drive.google.com/file/d/1cy_ltcFUV8gaHBZ8G3ydl8_45eHiw9_f/view?usp=drive_link" TargetMode="External"/><Relationship Id="rId449" Type="http://schemas.openxmlformats.org/officeDocument/2006/relationships/hyperlink" Target="mailto:bhagirathinteriors@gmail.com" TargetMode="External"/><Relationship Id="rId614" Type="http://schemas.openxmlformats.org/officeDocument/2006/relationships/hyperlink" Target="mailto:Shahsank.shah@vcme.co.in" TargetMode="External"/><Relationship Id="rId656" Type="http://schemas.openxmlformats.org/officeDocument/2006/relationships/hyperlink" Target="mailto:smpolymer@gmail.com" TargetMode="External"/><Relationship Id="rId211" Type="http://schemas.openxmlformats.org/officeDocument/2006/relationships/hyperlink" Target="https://drive.google.com/file/d/1Cq6ZHxG1uxseqi_ljLr5eoAqeBxQdLW-/view?usp=drive_link" TargetMode="External"/><Relationship Id="rId253" Type="http://schemas.openxmlformats.org/officeDocument/2006/relationships/hyperlink" Target="mailto:kasturisteelfurniture@gmail.com" TargetMode="External"/><Relationship Id="rId295" Type="http://schemas.openxmlformats.org/officeDocument/2006/relationships/hyperlink" Target="mailto:bhagirathinteriors@gmail.com" TargetMode="External"/><Relationship Id="rId309" Type="http://schemas.openxmlformats.org/officeDocument/2006/relationships/hyperlink" Target="mailto:sales@khushbooscientific.com" TargetMode="External"/><Relationship Id="rId460" Type="http://schemas.openxmlformats.org/officeDocument/2006/relationships/hyperlink" Target="mailto:sales@khushbooscientific.com" TargetMode="External"/><Relationship Id="rId516" Type="http://schemas.openxmlformats.org/officeDocument/2006/relationships/hyperlink" Target="mailto:tsplhq@trafitek.com" TargetMode="External"/><Relationship Id="rId698" Type="http://schemas.openxmlformats.org/officeDocument/2006/relationships/hyperlink" Target="mailto:achalaee@gamil.com" TargetMode="External"/><Relationship Id="rId48" Type="http://schemas.openxmlformats.org/officeDocument/2006/relationships/hyperlink" Target="https://drive.google.com/file/d/1Qy7it9ecoDKSpfl_b3dVcni6bJnDsvVK/view?usp=drive_link" TargetMode="External"/><Relationship Id="rId113" Type="http://schemas.openxmlformats.org/officeDocument/2006/relationships/hyperlink" Target="https://drive.google.com/file/d/1qq4IdQkdR22O1KeES6nX7Qn-RXnvSeEo/view?usp=drive_link" TargetMode="External"/><Relationship Id="rId320" Type="http://schemas.openxmlformats.org/officeDocument/2006/relationships/hyperlink" Target="mailto:tender@waghindia.com" TargetMode="External"/><Relationship Id="rId558" Type="http://schemas.openxmlformats.org/officeDocument/2006/relationships/hyperlink" Target="mailto:tender@waghindia.com" TargetMode="External"/><Relationship Id="rId723" Type="http://schemas.openxmlformats.org/officeDocument/2006/relationships/hyperlink" Target="mailto:santajikadam@yahoo.co.in" TargetMode="External"/><Relationship Id="rId765" Type="http://schemas.openxmlformats.org/officeDocument/2006/relationships/hyperlink" Target="mailto:hitechnm2@gmail.com" TargetMode="External"/><Relationship Id="rId155" Type="http://schemas.openxmlformats.org/officeDocument/2006/relationships/hyperlink" Target="https://drive.google.com/file/d/1P2g-gOntzbFvwiqIX03GSf1vppwLfn68/view?usp=drive_link" TargetMode="External"/><Relationship Id="rId197" Type="http://schemas.openxmlformats.org/officeDocument/2006/relationships/hyperlink" Target="https://drive.google.com/file/d/1ODZZAZcNvAQ9kDJBWmjHbtSnJ3Wq-qlX/view?usp=drive_link" TargetMode="External"/><Relationship Id="rId362" Type="http://schemas.openxmlformats.org/officeDocument/2006/relationships/hyperlink" Target="mailto:tender@waghindia.com" TargetMode="External"/><Relationship Id="rId418" Type="http://schemas.openxmlformats.org/officeDocument/2006/relationships/hyperlink" Target="https://drive.google.com/file/d/1cy_ltcFUV8gaHBZ8G3ydl8_45eHiw9_f/view?usp=drive_link" TargetMode="External"/><Relationship Id="rId625" Type="http://schemas.openxmlformats.org/officeDocument/2006/relationships/hyperlink" Target="mailto:suvaselectricals@gmail.com" TargetMode="External"/><Relationship Id="rId222" Type="http://schemas.openxmlformats.org/officeDocument/2006/relationships/hyperlink" Target="https://drive.google.com/file/d/1DGOdXNli7b0Jp27NhsjPtORgWUtNylaS/view?usp=drive_link" TargetMode="External"/><Relationship Id="rId264" Type="http://schemas.openxmlformats.org/officeDocument/2006/relationships/hyperlink" Target="https://drive.google.com/file/d/128_SE4e3uzJfRxRei5R5SE6v71ZkEyqC/view?usp=drive_link" TargetMode="External"/><Relationship Id="rId471" Type="http://schemas.openxmlformats.org/officeDocument/2006/relationships/hyperlink" Target="mailto:tsplhq@trafitek.com" TargetMode="External"/><Relationship Id="rId667" Type="http://schemas.openxmlformats.org/officeDocument/2006/relationships/hyperlink" Target="mailto:pjj.pec@gmail.com" TargetMode="External"/><Relationship Id="rId17" Type="http://schemas.openxmlformats.org/officeDocument/2006/relationships/hyperlink" Target="https://drive.google.com/file/d/1ZIaTlY-r4l7oRHIvIaCcNfVQWO8w_gS6/view?usp=drive_link" TargetMode="External"/><Relationship Id="rId59" Type="http://schemas.openxmlformats.org/officeDocument/2006/relationships/hyperlink" Target="https://drive.google.com/file/d/1np1C64M8yNr0Ako6T9mU6F33yw34DSEt/view?usp=drive_link" TargetMode="External"/><Relationship Id="rId124" Type="http://schemas.openxmlformats.org/officeDocument/2006/relationships/hyperlink" Target="https://drive.google.com/file/d/1GSPHQUkO7t4XiraXnpXZ_RAKM6kbOaMw/view?usp=drive_link" TargetMode="External"/><Relationship Id="rId527" Type="http://schemas.openxmlformats.org/officeDocument/2006/relationships/hyperlink" Target="mailto:bhagirathinteriors@gmail.com" TargetMode="External"/><Relationship Id="rId569" Type="http://schemas.openxmlformats.org/officeDocument/2006/relationships/hyperlink" Target="mailto:Contactus@friendsengg.in" TargetMode="External"/><Relationship Id="rId734" Type="http://schemas.openxmlformats.org/officeDocument/2006/relationships/hyperlink" Target="mailto:Manaelectric@gmail.com" TargetMode="External"/><Relationship Id="rId70" Type="http://schemas.openxmlformats.org/officeDocument/2006/relationships/hyperlink" Target="https://drive.google.com/file/d/1u-3Jan7eaMJW61vGhFJodFuo6c0y9d2q/view?usp=drive_link" TargetMode="External"/><Relationship Id="rId166" Type="http://schemas.openxmlformats.org/officeDocument/2006/relationships/hyperlink" Target="https://drive.google.com/file/d/1u-3Jan7eaMJW61vGhFJodFuo6c0y9d2q/view?usp=drive_link" TargetMode="External"/><Relationship Id="rId331" Type="http://schemas.openxmlformats.org/officeDocument/2006/relationships/hyperlink" Target="mailto:tender@waghindia.com" TargetMode="External"/><Relationship Id="rId373" Type="http://schemas.openxmlformats.org/officeDocument/2006/relationships/hyperlink" Target="mailto:Pankaj@sfec.in" TargetMode="External"/><Relationship Id="rId429" Type="http://schemas.openxmlformats.org/officeDocument/2006/relationships/hyperlink" Target="https://drive.google.com/file/d/1GqTon7XfldbGuyh7HOPi214FBU0briw1/view?usp=drive_link" TargetMode="External"/><Relationship Id="rId580" Type="http://schemas.openxmlformats.org/officeDocument/2006/relationships/hyperlink" Target="mailto:Contactus@friendsengg.in" TargetMode="External"/><Relationship Id="rId636" Type="http://schemas.openxmlformats.org/officeDocument/2006/relationships/hyperlink" Target="mailto:Contactus@friendsengg.in" TargetMode="External"/><Relationship Id="rId1" Type="http://schemas.openxmlformats.org/officeDocument/2006/relationships/hyperlink" Target="mailto:globalentp13@gmail.com" TargetMode="External"/><Relationship Id="rId233" Type="http://schemas.openxmlformats.org/officeDocument/2006/relationships/hyperlink" Target="https://drive.google.com/file/d/1X4nP1Z101bw21nFQSL70ESIa-pKzi8Wl/view?usp=drive_link" TargetMode="External"/><Relationship Id="rId440" Type="http://schemas.openxmlformats.org/officeDocument/2006/relationships/hyperlink" Target="mailto:bhagirathinteriors@gmail.com" TargetMode="External"/><Relationship Id="rId678" Type="http://schemas.openxmlformats.org/officeDocument/2006/relationships/hyperlink" Target="mailto:pjj.pec@gmail.com" TargetMode="External"/><Relationship Id="rId28" Type="http://schemas.openxmlformats.org/officeDocument/2006/relationships/hyperlink" Target="https://drive.google.com/file/d/1_-tlqOVc8QxhJvTAfh9SzgGX0eGCZ-CQ/view?usp=drive_link" TargetMode="External"/><Relationship Id="rId275" Type="http://schemas.openxmlformats.org/officeDocument/2006/relationships/hyperlink" Target="https://drive.google.com/file/d/12uAtnEnyq8hI4XnHD9yyEbyhVdO0twZf/view?usp=drive_link" TargetMode="External"/><Relationship Id="rId300" Type="http://schemas.openxmlformats.org/officeDocument/2006/relationships/hyperlink" Target="mailto:bhagirathinteriors@gmail.com" TargetMode="External"/><Relationship Id="rId482" Type="http://schemas.openxmlformats.org/officeDocument/2006/relationships/hyperlink" Target="mailto:tsplhq@trafitek.com" TargetMode="External"/><Relationship Id="rId538" Type="http://schemas.openxmlformats.org/officeDocument/2006/relationships/hyperlink" Target="mailto:computechgreen@gmail.com" TargetMode="External"/><Relationship Id="rId703" Type="http://schemas.openxmlformats.org/officeDocument/2006/relationships/hyperlink" Target="mailto:achalaee@gamil.com" TargetMode="External"/><Relationship Id="rId745" Type="http://schemas.openxmlformats.org/officeDocument/2006/relationships/hyperlink" Target="mailto:pjj.pec@gmail.com" TargetMode="External"/><Relationship Id="rId81" Type="http://schemas.openxmlformats.org/officeDocument/2006/relationships/hyperlink" Target="https://drive.google.com/file/d/1AXbadhSz-h1q0CIsT1SYuLRAObM26HYm/view?usp=drive_link" TargetMode="External"/><Relationship Id="rId135" Type="http://schemas.openxmlformats.org/officeDocument/2006/relationships/hyperlink" Target="mailto:Pankaj@sfec.in" TargetMode="External"/><Relationship Id="rId177" Type="http://schemas.openxmlformats.org/officeDocument/2006/relationships/hyperlink" Target="https://drive.google.com/file/d/1gslkR5Uffm5ry_HOUP0QuCI1zLrjBz_m/view?usp=drive_link" TargetMode="External"/><Relationship Id="rId342" Type="http://schemas.openxmlformats.org/officeDocument/2006/relationships/hyperlink" Target="mailto:tender@waghindia.com" TargetMode="External"/><Relationship Id="rId384" Type="http://schemas.openxmlformats.org/officeDocument/2006/relationships/hyperlink" Target="mailto:Pankaj@sfec.in" TargetMode="External"/><Relationship Id="rId591" Type="http://schemas.openxmlformats.org/officeDocument/2006/relationships/hyperlink" Target="mailto:suvaselectricals@gmail.com" TargetMode="External"/><Relationship Id="rId605" Type="http://schemas.openxmlformats.org/officeDocument/2006/relationships/hyperlink" Target="mailto:Shahsank.shah@vcme.co.in" TargetMode="External"/><Relationship Id="rId202" Type="http://schemas.openxmlformats.org/officeDocument/2006/relationships/hyperlink" Target="https://drive.google.com/file/d/1i0EuXhkMSQtLdH1Mj88ist2_E2xrkiT_/view?usp=drive_link" TargetMode="External"/><Relationship Id="rId244" Type="http://schemas.openxmlformats.org/officeDocument/2006/relationships/hyperlink" Target="https://drive.google.com/file/d/1du6LUlq35bG6ePe4UxiUOVZwrxJizHGu/view?usp=drive_link" TargetMode="External"/><Relationship Id="rId647" Type="http://schemas.openxmlformats.org/officeDocument/2006/relationships/hyperlink" Target="mailto:suvaselectricals@gmail.com" TargetMode="External"/><Relationship Id="rId689" Type="http://schemas.openxmlformats.org/officeDocument/2006/relationships/hyperlink" Target="mailto:suvaselectricals@gmail.com" TargetMode="External"/><Relationship Id="rId39" Type="http://schemas.openxmlformats.org/officeDocument/2006/relationships/hyperlink" Target="https://drive.google.com/file/d/1jIxBIO7TkJQ7-Hr7LqBTZ72UoQhr7MPm/view?usp=drive_link" TargetMode="External"/><Relationship Id="rId286" Type="http://schemas.openxmlformats.org/officeDocument/2006/relationships/hyperlink" Target="https://drive.google.com/file/d/1IYIthSM7BiRKnqwVOpye5Mh9U_7uGu2u/view?usp=drive_link" TargetMode="External"/><Relationship Id="rId451" Type="http://schemas.openxmlformats.org/officeDocument/2006/relationships/hyperlink" Target="mailto:bhagirathinteriors@gmail.com" TargetMode="External"/><Relationship Id="rId493" Type="http://schemas.openxmlformats.org/officeDocument/2006/relationships/hyperlink" Target="mailto:tsplhq@trafitek.com" TargetMode="External"/><Relationship Id="rId507" Type="http://schemas.openxmlformats.org/officeDocument/2006/relationships/hyperlink" Target="mailto:tsplhq@trafitek.com" TargetMode="External"/><Relationship Id="rId549" Type="http://schemas.openxmlformats.org/officeDocument/2006/relationships/hyperlink" Target="mailto:bhagirathinteriors@gmail.com" TargetMode="External"/><Relationship Id="rId714" Type="http://schemas.openxmlformats.org/officeDocument/2006/relationships/hyperlink" Target="mailto:Contactus@friendsengg.in" TargetMode="External"/><Relationship Id="rId756" Type="http://schemas.openxmlformats.org/officeDocument/2006/relationships/hyperlink" Target="mailto:bhagirathinteriors@gmail.com" TargetMode="External"/><Relationship Id="rId50" Type="http://schemas.openxmlformats.org/officeDocument/2006/relationships/hyperlink" Target="https://drive.google.com/file/d/1FiIg0tjDyMyJbA9LVFOTSUX2rHPXULp-/view?usp=drive_link" TargetMode="External"/><Relationship Id="rId104" Type="http://schemas.openxmlformats.org/officeDocument/2006/relationships/hyperlink" Target="https://drive.google.com/file/d/1ezJ4Vnihowrq8ZRN0F7ddpGDIWtUfjJQ/view?usp=drive_link" TargetMode="External"/><Relationship Id="rId146" Type="http://schemas.openxmlformats.org/officeDocument/2006/relationships/hyperlink" Target="https://drive.google.com/file/d/1804twoZDAmI3scNJPDrJr1E6kU1ethMr/view?usp=drive_link" TargetMode="External"/><Relationship Id="rId188" Type="http://schemas.openxmlformats.org/officeDocument/2006/relationships/hyperlink" Target="https://drive.google.com/file/d/1wLJp0QZmhu11xRr06GPt4QBIf7HUzaA8/view?usp=drive_link" TargetMode="External"/><Relationship Id="rId311" Type="http://schemas.openxmlformats.org/officeDocument/2006/relationships/hyperlink" Target="mailto:sales@khushbooscientific.com" TargetMode="External"/><Relationship Id="rId353" Type="http://schemas.openxmlformats.org/officeDocument/2006/relationships/hyperlink" Target="mailto:suvaselectricals@gmail.com" TargetMode="External"/><Relationship Id="rId395" Type="http://schemas.openxmlformats.org/officeDocument/2006/relationships/hyperlink" Target="https://drive.google.com/file/d/1cy_ltcFUV8gaHBZ8G3ydl8_45eHiw9_f/view?usp=drive_link" TargetMode="External"/><Relationship Id="rId409" Type="http://schemas.openxmlformats.org/officeDocument/2006/relationships/hyperlink" Target="https://drive.google.com/file/d/1cy_ltcFUV8gaHBZ8G3ydl8_45eHiw9_f/view?usp=drive_link" TargetMode="External"/><Relationship Id="rId560" Type="http://schemas.openxmlformats.org/officeDocument/2006/relationships/hyperlink" Target="mailto:Contactus@friendsengg.in" TargetMode="External"/><Relationship Id="rId92" Type="http://schemas.openxmlformats.org/officeDocument/2006/relationships/hyperlink" Target="mailto:Pankaj@sfec.in" TargetMode="External"/><Relationship Id="rId213" Type="http://schemas.openxmlformats.org/officeDocument/2006/relationships/hyperlink" Target="https://drive.google.com/file/d/1O4msZc7yT1uzoLIjne8Gxz66tVGPJbbE/view?usp=drive_link" TargetMode="External"/><Relationship Id="rId420" Type="http://schemas.openxmlformats.org/officeDocument/2006/relationships/hyperlink" Target="mailto:bhagirathinteriors@gmail.com" TargetMode="External"/><Relationship Id="rId616" Type="http://schemas.openxmlformats.org/officeDocument/2006/relationships/hyperlink" Target="mailto:Contactus@friendsengg.in" TargetMode="External"/><Relationship Id="rId658" Type="http://schemas.openxmlformats.org/officeDocument/2006/relationships/hyperlink" Target="https://drive.google.com/file/d/1cy_ltcFUV8gaHBZ8G3ydl8_45eHiw9_f/view?usp=drive_link" TargetMode="External"/><Relationship Id="rId255" Type="http://schemas.openxmlformats.org/officeDocument/2006/relationships/hyperlink" Target="https://drive.google.com/file/d/1MQH_zxa0AH2md2kDrbhvKACmTUHJm-dV/view?usp=drive_link" TargetMode="External"/><Relationship Id="rId297" Type="http://schemas.openxmlformats.org/officeDocument/2006/relationships/hyperlink" Target="mailto:bhagirathinteriors@gmail.com" TargetMode="External"/><Relationship Id="rId462" Type="http://schemas.openxmlformats.org/officeDocument/2006/relationships/hyperlink" Target="https://drive.google.com/file/d/19nQtXXa5aS7IzlOyre2W7nDtWTwA-uau/view?usp=drive_link" TargetMode="External"/><Relationship Id="rId518" Type="http://schemas.openxmlformats.org/officeDocument/2006/relationships/hyperlink" Target="mailto:tsplhq@trafitek.com" TargetMode="External"/><Relationship Id="rId725" Type="http://schemas.openxmlformats.org/officeDocument/2006/relationships/hyperlink" Target="mailto:santajikadam@yahoo.co.in" TargetMode="External"/><Relationship Id="rId115" Type="http://schemas.openxmlformats.org/officeDocument/2006/relationships/hyperlink" Target="https://drive.google.com/file/d/1M2CFzm2Y3PGOU88YCd18RbvfjM7lcoHx/view?usp=drive_link" TargetMode="External"/><Relationship Id="rId157" Type="http://schemas.openxmlformats.org/officeDocument/2006/relationships/hyperlink" Target="https://drive.google.com/file/d/1YNpI9csJACAgZBrCfSPq5AbemJK3O1dY/view?usp=drive_link" TargetMode="External"/><Relationship Id="rId322" Type="http://schemas.openxmlformats.org/officeDocument/2006/relationships/hyperlink" Target="mailto:tender@waghindia.com" TargetMode="External"/><Relationship Id="rId364" Type="http://schemas.openxmlformats.org/officeDocument/2006/relationships/hyperlink" Target="mailto:tender@waghindia.com" TargetMode="External"/><Relationship Id="rId767" Type="http://schemas.openxmlformats.org/officeDocument/2006/relationships/hyperlink" Target="https://drive.google.com/file/d/11X7ts4NC53hyuuK9dRCfuIoLX2XiP4QB/view?usp=drive_link" TargetMode="External"/><Relationship Id="rId61" Type="http://schemas.openxmlformats.org/officeDocument/2006/relationships/hyperlink" Target="https://drive.google.com/file/d/1I5AxRuhMN9O8_MtsVzUaTrXdOy-K9tiN/view?usp=drive_link" TargetMode="External"/><Relationship Id="rId199" Type="http://schemas.openxmlformats.org/officeDocument/2006/relationships/hyperlink" Target="https://drive.google.com/file/d/1ANm9V4WvC-ivxrrrwo0DoztclLA8sQ6I/view?usp=drive_link" TargetMode="External"/><Relationship Id="rId571" Type="http://schemas.openxmlformats.org/officeDocument/2006/relationships/hyperlink" Target="mailto:Contactus@friendsengg.in" TargetMode="External"/><Relationship Id="rId627" Type="http://schemas.openxmlformats.org/officeDocument/2006/relationships/hyperlink" Target="mailto:suvaselectricals@gmail.com" TargetMode="External"/><Relationship Id="rId669" Type="http://schemas.openxmlformats.org/officeDocument/2006/relationships/hyperlink" Target="mailto:pjj.pec@gmail.com" TargetMode="External"/><Relationship Id="rId19" Type="http://schemas.openxmlformats.org/officeDocument/2006/relationships/hyperlink" Target="https://drive.google.com/file/d/1hM5iOpNt9UK5N2BFfB07e2t9Ulx9UMrG/view?usp=drive_link" TargetMode="External"/><Relationship Id="rId224" Type="http://schemas.openxmlformats.org/officeDocument/2006/relationships/hyperlink" Target="https://drive.google.com/file/d/1DGOdXNli7b0Jp27NhsjPtORgWUtNylaS/view?usp=drive_link" TargetMode="External"/><Relationship Id="rId266" Type="http://schemas.openxmlformats.org/officeDocument/2006/relationships/hyperlink" Target="https://drive.google.com/file/d/1IEdGocFPdfAGYBa43QTu9WFDze5OOrpy/view?usp=drive_link" TargetMode="External"/><Relationship Id="rId431" Type="http://schemas.openxmlformats.org/officeDocument/2006/relationships/hyperlink" Target="mailto:kasturisteelfurniture@gmail.com" TargetMode="External"/><Relationship Id="rId473" Type="http://schemas.openxmlformats.org/officeDocument/2006/relationships/hyperlink" Target="mailto:tsplhq@trafitek.com" TargetMode="External"/><Relationship Id="rId529" Type="http://schemas.openxmlformats.org/officeDocument/2006/relationships/hyperlink" Target="mailto:bhagirathinteriors@gmail.com" TargetMode="External"/><Relationship Id="rId680" Type="http://schemas.openxmlformats.org/officeDocument/2006/relationships/hyperlink" Target="mailto:pjj.pec@gmail.com" TargetMode="External"/><Relationship Id="rId736" Type="http://schemas.openxmlformats.org/officeDocument/2006/relationships/hyperlink" Target="mailto:Manaelectric@gmail.com" TargetMode="External"/><Relationship Id="rId30" Type="http://schemas.openxmlformats.org/officeDocument/2006/relationships/hyperlink" Target="https://drive.google.com/file/d/1hSKHR4IPP5MZ478foWc7F0jsrc6H-Tjk/view?usp=drive_link" TargetMode="External"/><Relationship Id="rId126" Type="http://schemas.openxmlformats.org/officeDocument/2006/relationships/hyperlink" Target="https://drive.google.com/file/d/1hVl4DmLJXKAcKzVQSR1nmBe5eZmf9tut/view?usp=drive_link" TargetMode="External"/><Relationship Id="rId168" Type="http://schemas.openxmlformats.org/officeDocument/2006/relationships/hyperlink" Target="mailto:computechgreen@gmail.com" TargetMode="External"/><Relationship Id="rId333" Type="http://schemas.openxmlformats.org/officeDocument/2006/relationships/hyperlink" Target="mailto:tender@waghindia.com" TargetMode="External"/><Relationship Id="rId540" Type="http://schemas.openxmlformats.org/officeDocument/2006/relationships/hyperlink" Target="mailto:computechgreen@gmail.com" TargetMode="External"/><Relationship Id="rId72" Type="http://schemas.openxmlformats.org/officeDocument/2006/relationships/hyperlink" Target="https://drive.google.com/file/d/1pK0pdo1xKoZpTvUfopjFaaSSp3XFR0W4/view?usp=drive_link" TargetMode="External"/><Relationship Id="rId375" Type="http://schemas.openxmlformats.org/officeDocument/2006/relationships/hyperlink" Target="mailto:Pankaj@sfec.in" TargetMode="External"/><Relationship Id="rId582" Type="http://schemas.openxmlformats.org/officeDocument/2006/relationships/hyperlink" Target="mailto:hitechnm2@gmail.com" TargetMode="External"/><Relationship Id="rId638" Type="http://schemas.openxmlformats.org/officeDocument/2006/relationships/hyperlink" Target="mailto:suvaselectricals@gmail.com" TargetMode="External"/><Relationship Id="rId3" Type="http://schemas.openxmlformats.org/officeDocument/2006/relationships/hyperlink" Target="mailto:computechgreen@gmail.com" TargetMode="External"/><Relationship Id="rId235" Type="http://schemas.openxmlformats.org/officeDocument/2006/relationships/hyperlink" Target="https://drive.google.com/file/d/1pM8-LuTKp1ygY_F-jQVkCqVXFULnjxrY/view?usp=drive_link" TargetMode="External"/><Relationship Id="rId277" Type="http://schemas.openxmlformats.org/officeDocument/2006/relationships/hyperlink" Target="https://drive.google.com/file/d/1mCTSm9ln9yB4CV7YxgPM7f5jnViLIhmv/view?usp=drive_link" TargetMode="External"/><Relationship Id="rId400" Type="http://schemas.openxmlformats.org/officeDocument/2006/relationships/hyperlink" Target="mailto:Pankaj@sfec.in" TargetMode="External"/><Relationship Id="rId442" Type="http://schemas.openxmlformats.org/officeDocument/2006/relationships/hyperlink" Target="mailto:bhagirathinteriors@gmail.com" TargetMode="External"/><Relationship Id="rId484" Type="http://schemas.openxmlformats.org/officeDocument/2006/relationships/hyperlink" Target="mailto:tsplhq@trafitek.com" TargetMode="External"/><Relationship Id="rId705" Type="http://schemas.openxmlformats.org/officeDocument/2006/relationships/hyperlink" Target="mailto:achalaee@gamil.com" TargetMode="External"/><Relationship Id="rId137" Type="http://schemas.openxmlformats.org/officeDocument/2006/relationships/hyperlink" Target="mailto:Pankaj@sfec.in" TargetMode="External"/><Relationship Id="rId302" Type="http://schemas.openxmlformats.org/officeDocument/2006/relationships/hyperlink" Target="mailto:laxmikop@gmail.com" TargetMode="External"/><Relationship Id="rId344" Type="http://schemas.openxmlformats.org/officeDocument/2006/relationships/hyperlink" Target="mailto:tender@waghindia.com" TargetMode="External"/><Relationship Id="rId691" Type="http://schemas.openxmlformats.org/officeDocument/2006/relationships/hyperlink" Target="mailto:suvaselectricals@gmail.com" TargetMode="External"/><Relationship Id="rId747" Type="http://schemas.openxmlformats.org/officeDocument/2006/relationships/hyperlink" Target="mailto:pjj.pec@gmail.com" TargetMode="External"/><Relationship Id="rId41" Type="http://schemas.openxmlformats.org/officeDocument/2006/relationships/hyperlink" Target="https://drive.google.com/file/d/1l8Q6RsXzvVhJQ5F7NwLjfgbJqeMkuwYs/view?usp=drive_link" TargetMode="External"/><Relationship Id="rId83" Type="http://schemas.openxmlformats.org/officeDocument/2006/relationships/hyperlink" Target="https://drive.google.com/file/d/1W2pn1vmyIf8BiIQjMeMnp0StylvWtMgo/view?usp=drive_link" TargetMode="External"/><Relationship Id="rId179" Type="http://schemas.openxmlformats.org/officeDocument/2006/relationships/hyperlink" Target="https://drive.google.com/file/d/1W9Vn-wXMuwTJtl9XmOtP7i6PcN4R_h9y/view?usp=drive_link" TargetMode="External"/><Relationship Id="rId386" Type="http://schemas.openxmlformats.org/officeDocument/2006/relationships/hyperlink" Target="mailto:Pankaj@sfec.in" TargetMode="External"/><Relationship Id="rId551" Type="http://schemas.openxmlformats.org/officeDocument/2006/relationships/hyperlink" Target="mailto:bhagirathinteriors@gmail.com" TargetMode="External"/><Relationship Id="rId593" Type="http://schemas.openxmlformats.org/officeDocument/2006/relationships/hyperlink" Target="mailto:suvaselectricals@gmail.com" TargetMode="External"/><Relationship Id="rId607" Type="http://schemas.openxmlformats.org/officeDocument/2006/relationships/hyperlink" Target="mailto:Shahsank.shah@vcme.co.in" TargetMode="External"/><Relationship Id="rId649" Type="http://schemas.openxmlformats.org/officeDocument/2006/relationships/hyperlink" Target="mailto:suvaselectricals@gmail.com" TargetMode="External"/><Relationship Id="rId190" Type="http://schemas.openxmlformats.org/officeDocument/2006/relationships/hyperlink" Target="https://drive.google.com/file/d/107m9XMfkiTTSjWmeaI0akuGnr1yXY5GA/view?usp=drive_link" TargetMode="External"/><Relationship Id="rId204" Type="http://schemas.openxmlformats.org/officeDocument/2006/relationships/hyperlink" Target="https://drive.google.com/file/d/1smT6fr9k8OHylTjtHBHr7AO_37VlKDSo/view?usp=drive_link" TargetMode="External"/><Relationship Id="rId246" Type="http://schemas.openxmlformats.org/officeDocument/2006/relationships/hyperlink" Target="https://drive.google.com/file/d/1OizJdrRTajJwhttU3pegHTIGDxpYT3eR/view?usp=drive_link" TargetMode="External"/><Relationship Id="rId288" Type="http://schemas.openxmlformats.org/officeDocument/2006/relationships/hyperlink" Target="https://drive.google.com/file/d/1iEIcVHEvW3Z3VXQWxezRSyLjG8vbM8js/view?usp=drive_link" TargetMode="External"/><Relationship Id="rId411" Type="http://schemas.openxmlformats.org/officeDocument/2006/relationships/hyperlink" Target="mailto:Pankaj@sfec.in" TargetMode="External"/><Relationship Id="rId453" Type="http://schemas.openxmlformats.org/officeDocument/2006/relationships/hyperlink" Target="mailto:bhagirathinteriors@gmail.com" TargetMode="External"/><Relationship Id="rId509" Type="http://schemas.openxmlformats.org/officeDocument/2006/relationships/hyperlink" Target="mailto:tsplhq@trafitek.com" TargetMode="External"/><Relationship Id="rId660" Type="http://schemas.openxmlformats.org/officeDocument/2006/relationships/hyperlink" Target="mailto:kasturisteelfurniture@gmail.com" TargetMode="External"/><Relationship Id="rId106" Type="http://schemas.openxmlformats.org/officeDocument/2006/relationships/hyperlink" Target="https://drive.google.com/file/d/1rq1GLAwk9qC1ZrOPwQpPKcjUpU4h-9d4/view?usp=drive_link" TargetMode="External"/><Relationship Id="rId313" Type="http://schemas.openxmlformats.org/officeDocument/2006/relationships/hyperlink" Target="mailto:tender@waghindia.com" TargetMode="External"/><Relationship Id="rId495" Type="http://schemas.openxmlformats.org/officeDocument/2006/relationships/hyperlink" Target="mailto:tsplhq@trafitek.com" TargetMode="External"/><Relationship Id="rId716" Type="http://schemas.openxmlformats.org/officeDocument/2006/relationships/hyperlink" Target="mailto:Contactus@friendsengg.in" TargetMode="External"/><Relationship Id="rId758" Type="http://schemas.openxmlformats.org/officeDocument/2006/relationships/hyperlink" Target="mailto:bhagirathinteriors@gmail.com" TargetMode="External"/><Relationship Id="rId10" Type="http://schemas.openxmlformats.org/officeDocument/2006/relationships/hyperlink" Target="https://drive.google.com/file/d/1UW-hpGscqM97eM-Y0ttaVN7u0XGtq-ed/view?usp=drive_link" TargetMode="External"/><Relationship Id="rId52" Type="http://schemas.openxmlformats.org/officeDocument/2006/relationships/hyperlink" Target="https://drive.google.com/file/d/1FiIg0tjDyMyJbA9LVFOTSUX2rHPXULp-/view?usp=drive_link" TargetMode="External"/><Relationship Id="rId94" Type="http://schemas.openxmlformats.org/officeDocument/2006/relationships/hyperlink" Target="https://drive.google.com/file/d/1-TgShR8Myspxd31aICuFMCpJ6guE4NNx/view?usp=drive_link" TargetMode="External"/><Relationship Id="rId148" Type="http://schemas.openxmlformats.org/officeDocument/2006/relationships/hyperlink" Target="https://drive.google.com/file/d/1ciSos-vRLQB-cFZZpuB3pnmIbcpwbnn3/view?usp=drive_link" TargetMode="External"/><Relationship Id="rId355" Type="http://schemas.openxmlformats.org/officeDocument/2006/relationships/hyperlink" Target="mailto:tender@waghindia.com" TargetMode="External"/><Relationship Id="rId397" Type="http://schemas.openxmlformats.org/officeDocument/2006/relationships/hyperlink" Target="https://drive.google.com/file/d/1cy_ltcFUV8gaHBZ8G3ydl8_45eHiw9_f/view?usp=drive_link" TargetMode="External"/><Relationship Id="rId520" Type="http://schemas.openxmlformats.org/officeDocument/2006/relationships/hyperlink" Target="mailto:Manaelectric@gmail.com" TargetMode="External"/><Relationship Id="rId562" Type="http://schemas.openxmlformats.org/officeDocument/2006/relationships/hyperlink" Target="mailto:Contactus@friendsengg.in" TargetMode="External"/><Relationship Id="rId618" Type="http://schemas.openxmlformats.org/officeDocument/2006/relationships/hyperlink" Target="mailto:Contactus@friendsengg.in" TargetMode="External"/><Relationship Id="rId215" Type="http://schemas.openxmlformats.org/officeDocument/2006/relationships/hyperlink" Target="https://drive.google.com/file/d/1wvn50rMqnOApTnluEQZQHgnwD8Okyrju/view?usp=drive_link" TargetMode="External"/><Relationship Id="rId257" Type="http://schemas.openxmlformats.org/officeDocument/2006/relationships/hyperlink" Target="https://drive.google.com/file/d/1cvDBy6Dmeq2toEmqvBnyktv8UGiTHZ7V/view?usp=drive_link" TargetMode="External"/><Relationship Id="rId422" Type="http://schemas.openxmlformats.org/officeDocument/2006/relationships/hyperlink" Target="mailto:bhagirathinteriors@gmail.com" TargetMode="External"/><Relationship Id="rId464" Type="http://schemas.openxmlformats.org/officeDocument/2006/relationships/hyperlink" Target="mailto:tsplhq@trafitek.com" TargetMode="External"/><Relationship Id="rId299" Type="http://schemas.openxmlformats.org/officeDocument/2006/relationships/hyperlink" Target="mailto:bhagirathinteriors@gmail.com" TargetMode="External"/><Relationship Id="rId727" Type="http://schemas.openxmlformats.org/officeDocument/2006/relationships/hyperlink" Target="mailto:santajikadam@yahoo.co.in" TargetMode="External"/><Relationship Id="rId63" Type="http://schemas.openxmlformats.org/officeDocument/2006/relationships/hyperlink" Target="https://drive.google.com/file/d/1B9vrxif4fLv3aoo4510sf-CjX8DIBUS6/view?usp=drive_link" TargetMode="External"/><Relationship Id="rId159" Type="http://schemas.openxmlformats.org/officeDocument/2006/relationships/hyperlink" Target="https://drive.google.com/file/d/1Ou21ZKRsYoTQn7pSpe2MdC_J0fUrwnoz/view?usp=drive_link" TargetMode="External"/><Relationship Id="rId366" Type="http://schemas.openxmlformats.org/officeDocument/2006/relationships/hyperlink" Target="mailto:tender@waghindia.com" TargetMode="External"/><Relationship Id="rId573" Type="http://schemas.openxmlformats.org/officeDocument/2006/relationships/hyperlink" Target="mailto:Contactus@friendsengg.in" TargetMode="External"/><Relationship Id="rId226" Type="http://schemas.openxmlformats.org/officeDocument/2006/relationships/hyperlink" Target="https://drive.google.com/file/d/1wSltsphAls9QuD2rWOqZO7pSl5SSz_3Q/view?usp=drive_link" TargetMode="External"/><Relationship Id="rId433" Type="http://schemas.openxmlformats.org/officeDocument/2006/relationships/hyperlink" Target="mailto:kasturisteelfurniture@gmail.com" TargetMode="External"/><Relationship Id="rId640" Type="http://schemas.openxmlformats.org/officeDocument/2006/relationships/hyperlink" Target="mailto:suvaselectricals@gmail.com" TargetMode="External"/><Relationship Id="rId738" Type="http://schemas.openxmlformats.org/officeDocument/2006/relationships/hyperlink" Target="mailto:Manaelectric@gmail.com" TargetMode="External"/><Relationship Id="rId74" Type="http://schemas.openxmlformats.org/officeDocument/2006/relationships/hyperlink" Target="https://drive.google.com/file/d/1a930Yyza5ZJPmv51XrLJkkywuNckZIWQ/view?usp=drive_link" TargetMode="External"/><Relationship Id="rId377" Type="http://schemas.openxmlformats.org/officeDocument/2006/relationships/hyperlink" Target="https://drive.google.com/file/d/1cy_ltcFUV8gaHBZ8G3ydl8_45eHiw9_f/view?usp=drive_link" TargetMode="External"/><Relationship Id="rId500" Type="http://schemas.openxmlformats.org/officeDocument/2006/relationships/hyperlink" Target="mailto:tsplhq@trafitek.com" TargetMode="External"/><Relationship Id="rId584" Type="http://schemas.openxmlformats.org/officeDocument/2006/relationships/hyperlink" Target="mailto:suvaselectricals@gmail.com" TargetMode="External"/><Relationship Id="rId5" Type="http://schemas.openxmlformats.org/officeDocument/2006/relationships/hyperlink" Target="mailto:bhagirathinteriors@gmail.com" TargetMode="External"/><Relationship Id="rId237" Type="http://schemas.openxmlformats.org/officeDocument/2006/relationships/hyperlink" Target="https://drive.google.com/file/d/1Q750QL_j736wD4LcH-pQoPCnZ-6ue7MQ/view?usp=drive_link" TargetMode="External"/><Relationship Id="rId444" Type="http://schemas.openxmlformats.org/officeDocument/2006/relationships/hyperlink" Target="https://drive.google.com/file/d/1DusFJ9OteK3q8YfM8lyWia1D9GEvD0y-/view?usp=drive_link" TargetMode="External"/><Relationship Id="rId651" Type="http://schemas.openxmlformats.org/officeDocument/2006/relationships/hyperlink" Target="mailto:suvaselectricals@gmail.com" TargetMode="External"/><Relationship Id="rId749" Type="http://schemas.openxmlformats.org/officeDocument/2006/relationships/hyperlink" Target="mailto:Manaelectric@gmail.com" TargetMode="External"/><Relationship Id="rId290" Type="http://schemas.openxmlformats.org/officeDocument/2006/relationships/hyperlink" Target="https://drive.google.com/file/d/14NPOGE7FPKWKwLd6qE4E2o4H3mQtK2Lg/view?usp=drive_link" TargetMode="External"/><Relationship Id="rId304" Type="http://schemas.openxmlformats.org/officeDocument/2006/relationships/hyperlink" Target="mailto:sales@khushbooscientific.com" TargetMode="External"/><Relationship Id="rId388" Type="http://schemas.openxmlformats.org/officeDocument/2006/relationships/hyperlink" Target="mailto:Pankaj@sfec.in" TargetMode="External"/><Relationship Id="rId511" Type="http://schemas.openxmlformats.org/officeDocument/2006/relationships/hyperlink" Target="mailto:tsplhq@trafitek.com" TargetMode="External"/><Relationship Id="rId609" Type="http://schemas.openxmlformats.org/officeDocument/2006/relationships/hyperlink" Target="mailto:Shahsank.shah@vcme.co.in" TargetMode="External"/><Relationship Id="rId85" Type="http://schemas.openxmlformats.org/officeDocument/2006/relationships/hyperlink" Target="https://drive.google.com/file/d/1UDZYMKe9X9AWR3rgVZXczu858ZBqiRcF/view?usp=drive_link" TargetMode="External"/><Relationship Id="rId150" Type="http://schemas.openxmlformats.org/officeDocument/2006/relationships/hyperlink" Target="https://drive.google.com/file/d/1FPx1XgFf7AULXD11myTrMsEoRjz6dzan/view?usp=drive_link" TargetMode="External"/><Relationship Id="rId595" Type="http://schemas.openxmlformats.org/officeDocument/2006/relationships/hyperlink" Target="mailto:suvaselectricals@gmail.com" TargetMode="External"/><Relationship Id="rId248" Type="http://schemas.openxmlformats.org/officeDocument/2006/relationships/hyperlink" Target="https://drive.google.com/file/d/1GMOmsCXtko-uwquLaMtrBN4FyGl4sHzR/view?usp=drive_link" TargetMode="External"/><Relationship Id="rId455" Type="http://schemas.openxmlformats.org/officeDocument/2006/relationships/hyperlink" Target="mailto:bhagirathinteriors@gmail.com" TargetMode="External"/><Relationship Id="rId662" Type="http://schemas.openxmlformats.org/officeDocument/2006/relationships/hyperlink" Target="mailto:tsplhq@trafitek.com" TargetMode="External"/><Relationship Id="rId12" Type="http://schemas.openxmlformats.org/officeDocument/2006/relationships/hyperlink" Target="https://drive.google.com/file/d/10Feqr6HdjQF7jxgUPGKFtGWck4l70_K2/view?usp=drive_link" TargetMode="External"/><Relationship Id="rId108" Type="http://schemas.openxmlformats.org/officeDocument/2006/relationships/hyperlink" Target="https://drive.google.com/file/d/1txc-L730e0E1mRMTb0Jd2ldIKRI6d8yK/view?usp=drive_link" TargetMode="External"/><Relationship Id="rId315" Type="http://schemas.openxmlformats.org/officeDocument/2006/relationships/hyperlink" Target="mailto:tender@waghindia.com" TargetMode="External"/><Relationship Id="rId522" Type="http://schemas.openxmlformats.org/officeDocument/2006/relationships/hyperlink" Target="mailto:bhagirathinteriors@gmail.com" TargetMode="External"/><Relationship Id="rId96" Type="http://schemas.openxmlformats.org/officeDocument/2006/relationships/hyperlink" Target="https://drive.google.com/file/d/1dRYXBAB9U67L3B0bfXX847tfrT2OdlzZ/view?usp=drive_link" TargetMode="External"/><Relationship Id="rId161" Type="http://schemas.openxmlformats.org/officeDocument/2006/relationships/hyperlink" Target="https://drive.google.com/file/d/1W8W-PrIRmTlzDwifEu63nNqawfjigeDy/view?usp=drive_link" TargetMode="External"/><Relationship Id="rId399" Type="http://schemas.openxmlformats.org/officeDocument/2006/relationships/hyperlink" Target="https://drive.google.com/file/d/1cy_ltcFUV8gaHBZ8G3ydl8_45eHiw9_f/view?usp=drive_link" TargetMode="External"/><Relationship Id="rId259" Type="http://schemas.openxmlformats.org/officeDocument/2006/relationships/hyperlink" Target="https://drive.google.com/file/d/10hkReb9bCgAidSq-pvPT5ukRoGtY3Qwk/view?usp=drive_link" TargetMode="External"/><Relationship Id="rId466" Type="http://schemas.openxmlformats.org/officeDocument/2006/relationships/hyperlink" Target="mailto:tsplhq@trafitek.com" TargetMode="External"/><Relationship Id="rId673" Type="http://schemas.openxmlformats.org/officeDocument/2006/relationships/hyperlink" Target="mailto:pjj.pec@gmail.com" TargetMode="External"/><Relationship Id="rId23" Type="http://schemas.openxmlformats.org/officeDocument/2006/relationships/hyperlink" Target="https://drive.google.com/file/d/1rPdy6vzdLY3-oWoQRYjhUC9gJY4d-e9a/view?usp=drive_link" TargetMode="External"/><Relationship Id="rId119" Type="http://schemas.openxmlformats.org/officeDocument/2006/relationships/hyperlink" Target="https://drive.google.com/file/d/1NgO0_mdxFawU2jVCekDrRDlA7trWMoWj/view?usp=drive_link" TargetMode="External"/><Relationship Id="rId326" Type="http://schemas.openxmlformats.org/officeDocument/2006/relationships/hyperlink" Target="mailto:tender@waghindia.com" TargetMode="External"/><Relationship Id="rId533" Type="http://schemas.openxmlformats.org/officeDocument/2006/relationships/hyperlink" Target="mailto:computechgreen@gmail.com" TargetMode="External"/><Relationship Id="rId740" Type="http://schemas.openxmlformats.org/officeDocument/2006/relationships/hyperlink" Target="mailto:pjj.pec@gmail.com" TargetMode="External"/><Relationship Id="rId172" Type="http://schemas.openxmlformats.org/officeDocument/2006/relationships/hyperlink" Target="https://drive.google.com/file/d/1GqAsU0bdA-deMIPRLLsoC-CbIrdt5tTT/view?usp=drive_link" TargetMode="External"/><Relationship Id="rId477" Type="http://schemas.openxmlformats.org/officeDocument/2006/relationships/hyperlink" Target="mailto:tsplhq@trafitek.com" TargetMode="External"/><Relationship Id="rId600" Type="http://schemas.openxmlformats.org/officeDocument/2006/relationships/hyperlink" Target="mailto:suvaselectricals@gmail.com" TargetMode="External"/><Relationship Id="rId684" Type="http://schemas.openxmlformats.org/officeDocument/2006/relationships/hyperlink" Target="mailto:pjj.pec@gmail.com" TargetMode="External"/><Relationship Id="rId337" Type="http://schemas.openxmlformats.org/officeDocument/2006/relationships/hyperlink" Target="mailto:tender@waghindia.com" TargetMode="External"/><Relationship Id="rId34" Type="http://schemas.openxmlformats.org/officeDocument/2006/relationships/hyperlink" Target="https://drive.google.com/file/d/1nnLPYPT7JECRYCu1zFbxkwrd3QlYhm0N/view?usp=drive_link" TargetMode="External"/><Relationship Id="rId544" Type="http://schemas.openxmlformats.org/officeDocument/2006/relationships/hyperlink" Target="mailto:computechgreen@gmail.com" TargetMode="External"/><Relationship Id="rId751" Type="http://schemas.openxmlformats.org/officeDocument/2006/relationships/hyperlink" Target="mailto:Sales@gostorageracks.com" TargetMode="External"/><Relationship Id="rId183" Type="http://schemas.openxmlformats.org/officeDocument/2006/relationships/hyperlink" Target="https://drive.google.com/file/d/1iOPDsR2iUhxKoct2CWdKx_6Ajt0jBcwa/view?usp=drive_link" TargetMode="External"/><Relationship Id="rId390" Type="http://schemas.openxmlformats.org/officeDocument/2006/relationships/hyperlink" Target="mailto:Pankaj@sfec.in" TargetMode="External"/><Relationship Id="rId404" Type="http://schemas.openxmlformats.org/officeDocument/2006/relationships/hyperlink" Target="mailto:Pankaj@sfec.in" TargetMode="External"/><Relationship Id="rId611" Type="http://schemas.openxmlformats.org/officeDocument/2006/relationships/hyperlink" Target="mailto:Shahsank.shah@vcme.co.in" TargetMode="External"/><Relationship Id="rId250" Type="http://schemas.openxmlformats.org/officeDocument/2006/relationships/hyperlink" Target="https://drive.google.com/file/d/165AwfpxssfpPNo8yAz1i6tSPoOxAUtUS/view?usp=drive_link" TargetMode="External"/><Relationship Id="rId488" Type="http://schemas.openxmlformats.org/officeDocument/2006/relationships/hyperlink" Target="mailto:tsplhq@trafitek.com" TargetMode="External"/><Relationship Id="rId695" Type="http://schemas.openxmlformats.org/officeDocument/2006/relationships/hyperlink" Target="mailto:sitechsystems3@gmail.com" TargetMode="External"/><Relationship Id="rId709" Type="http://schemas.openxmlformats.org/officeDocument/2006/relationships/hyperlink" Target="mailto:achalaee@gamil.com" TargetMode="External"/><Relationship Id="rId45" Type="http://schemas.openxmlformats.org/officeDocument/2006/relationships/hyperlink" Target="https://drive.google.com/file/d/1p4sdSoN76fMGqcEnG2OefkFIIgssJFUs/view?usp=drive_link" TargetMode="External"/><Relationship Id="rId110" Type="http://schemas.openxmlformats.org/officeDocument/2006/relationships/hyperlink" Target="https://drive.google.com/file/d/16aM-45mKD4rn093GxHqdXqyUkKgXx0H2/view?usp=drive_link" TargetMode="External"/><Relationship Id="rId348" Type="http://schemas.openxmlformats.org/officeDocument/2006/relationships/hyperlink" Target="mailto:bhagirathinteriors@gmail.com" TargetMode="External"/><Relationship Id="rId555" Type="http://schemas.openxmlformats.org/officeDocument/2006/relationships/hyperlink" Target="mailto:tender@waghindia.com" TargetMode="External"/><Relationship Id="rId762" Type="http://schemas.openxmlformats.org/officeDocument/2006/relationships/hyperlink" Target="mailto:hitechnm2@gmail.com" TargetMode="External"/><Relationship Id="rId194" Type="http://schemas.openxmlformats.org/officeDocument/2006/relationships/hyperlink" Target="https://drive.google.com/file/d/1g7VfPNuW2uB8ZH-oNVWMfZXFiG7_t-Pk/view?usp=drive_link" TargetMode="External"/><Relationship Id="rId208" Type="http://schemas.openxmlformats.org/officeDocument/2006/relationships/hyperlink" Target="https://drive.google.com/file/d/17Ui9JwMyfJp2YXXMYOvgZxUeXEx0dl-Q/view?usp=drive_link" TargetMode="External"/><Relationship Id="rId415" Type="http://schemas.openxmlformats.org/officeDocument/2006/relationships/hyperlink" Target="mailto:Pankaj@sfec.in" TargetMode="External"/><Relationship Id="rId622" Type="http://schemas.openxmlformats.org/officeDocument/2006/relationships/hyperlink" Target="mailto:bhagirathinteriors@gmail.com" TargetMode="External"/><Relationship Id="rId261" Type="http://schemas.openxmlformats.org/officeDocument/2006/relationships/hyperlink" Target="https://drive.google.com/file/d/1H-T341KFi1LbD9KaWRFOEUO6BFT02Lvs/view?usp=drive_link" TargetMode="External"/><Relationship Id="rId499" Type="http://schemas.openxmlformats.org/officeDocument/2006/relationships/hyperlink" Target="mailto:tsplhq@trafitek.com" TargetMode="External"/><Relationship Id="rId56" Type="http://schemas.openxmlformats.org/officeDocument/2006/relationships/hyperlink" Target="https://drive.google.com/file/d/1V1E-qEMDuMfVN_kXboiDsfneFVdXW5fN/view?usp=drive_link" TargetMode="External"/><Relationship Id="rId359" Type="http://schemas.openxmlformats.org/officeDocument/2006/relationships/hyperlink" Target="mailto:tender@waghindia.com" TargetMode="External"/><Relationship Id="rId566" Type="http://schemas.openxmlformats.org/officeDocument/2006/relationships/hyperlink" Target="mailto:Contactus@friendsengg.in" TargetMode="External"/><Relationship Id="rId121" Type="http://schemas.openxmlformats.org/officeDocument/2006/relationships/hyperlink" Target="https://drive.google.com/file/d/12TG2kc9I5gAp558CjaSNdz7CoVhiTrfs/view?usp=drive_link" TargetMode="External"/><Relationship Id="rId219" Type="http://schemas.openxmlformats.org/officeDocument/2006/relationships/hyperlink" Target="https://drive.google.com/file/d/1nLFeNB4PGRdwTu5tnMDyXU8YorLKRZF6/view?usp=drive_link" TargetMode="External"/><Relationship Id="rId426" Type="http://schemas.openxmlformats.org/officeDocument/2006/relationships/hyperlink" Target="mailto:bhagirathinteriors@gmail.com" TargetMode="External"/><Relationship Id="rId633" Type="http://schemas.openxmlformats.org/officeDocument/2006/relationships/hyperlink" Target="mailto:Contactus@friendsengg.in" TargetMode="External"/><Relationship Id="rId67" Type="http://schemas.openxmlformats.org/officeDocument/2006/relationships/hyperlink" Target="https://drive.google.com/file/d/1tKJcbxL752cMzWGTIV5-4D6LlRiOsntx/view?usp=drive_link" TargetMode="External"/><Relationship Id="rId272" Type="http://schemas.openxmlformats.org/officeDocument/2006/relationships/hyperlink" Target="https://drive.google.com/file/d/1rtnmhG4WF_278x7_josM1780Xnu7lLFZ/view?usp=drive_link" TargetMode="External"/><Relationship Id="rId577" Type="http://schemas.openxmlformats.org/officeDocument/2006/relationships/hyperlink" Target="mailto:Contactus@friendsengg.in" TargetMode="External"/><Relationship Id="rId700" Type="http://schemas.openxmlformats.org/officeDocument/2006/relationships/hyperlink" Target="mailto:achalaee@gamil.com" TargetMode="External"/><Relationship Id="rId132" Type="http://schemas.openxmlformats.org/officeDocument/2006/relationships/hyperlink" Target="https://drive.google.com/file/d/1etb7aX_3-gsHQL8kVS-T3xQm5D-Gp_YT/view?usp=drive_link" TargetMode="External"/><Relationship Id="rId437" Type="http://schemas.openxmlformats.org/officeDocument/2006/relationships/hyperlink" Target="mailto:kasturisteelfurniture@gmail.com" TargetMode="External"/><Relationship Id="rId644" Type="http://schemas.openxmlformats.org/officeDocument/2006/relationships/hyperlink" Target="mailto:suvaselectricals@gmail.com" TargetMode="External"/><Relationship Id="rId283" Type="http://schemas.openxmlformats.org/officeDocument/2006/relationships/hyperlink" Target="https://drive.google.com/file/d/198-Ey2q28nGvAZnIjnhP_k6jKlEu_wBP/view?usp=sharing" TargetMode="External"/><Relationship Id="rId490" Type="http://schemas.openxmlformats.org/officeDocument/2006/relationships/hyperlink" Target="mailto:tsplhq@trafitek.com" TargetMode="External"/><Relationship Id="rId504" Type="http://schemas.openxmlformats.org/officeDocument/2006/relationships/hyperlink" Target="mailto:tsplhq@trafitek.com" TargetMode="External"/><Relationship Id="rId711" Type="http://schemas.openxmlformats.org/officeDocument/2006/relationships/hyperlink" Target="mailto:achalaee@gamil.com" TargetMode="External"/><Relationship Id="rId78" Type="http://schemas.openxmlformats.org/officeDocument/2006/relationships/hyperlink" Target="https://drive.google.com/file/d/1sn2zZxRPpkxNIEpAVZ6epvQ7izBWy0cn/view?usp=drive_link" TargetMode="External"/><Relationship Id="rId143" Type="http://schemas.openxmlformats.org/officeDocument/2006/relationships/hyperlink" Target="mailto:Pankaj@sfec.in" TargetMode="External"/><Relationship Id="rId350" Type="http://schemas.openxmlformats.org/officeDocument/2006/relationships/hyperlink" Target="mailto:computechgreen@gmail.com" TargetMode="External"/><Relationship Id="rId588" Type="http://schemas.openxmlformats.org/officeDocument/2006/relationships/hyperlink" Target="mailto:suvaselectricals@gmail.com" TargetMode="External"/><Relationship Id="rId9" Type="http://schemas.openxmlformats.org/officeDocument/2006/relationships/hyperlink" Target="https://drive.google.com/file/d/13KMC2P3VhN33pKtn20k5lUd0KwNzQA-i/view?usp=drive_link" TargetMode="External"/><Relationship Id="rId210" Type="http://schemas.openxmlformats.org/officeDocument/2006/relationships/hyperlink" Target="https://drive.google.com/file/d/1REERhbgebb8SpVSq0cuJUtmbnBmssqQt/view?usp=drive_link" TargetMode="External"/><Relationship Id="rId448" Type="http://schemas.openxmlformats.org/officeDocument/2006/relationships/hyperlink" Target="https://drive.google.com/file/d/1pioHFdk_KmZGwVZhJlUtAXERR6ObEBKz/view?usp=drive_link" TargetMode="External"/><Relationship Id="rId655" Type="http://schemas.openxmlformats.org/officeDocument/2006/relationships/hyperlink" Target="mailto:suvaselectricals@gmail.com" TargetMode="External"/><Relationship Id="rId294" Type="http://schemas.openxmlformats.org/officeDocument/2006/relationships/hyperlink" Target="mailto:bhagirathinteriors@gmail.com" TargetMode="External"/><Relationship Id="rId308" Type="http://schemas.openxmlformats.org/officeDocument/2006/relationships/hyperlink" Target="mailto:sales@khushbooscientific.com" TargetMode="External"/><Relationship Id="rId515" Type="http://schemas.openxmlformats.org/officeDocument/2006/relationships/hyperlink" Target="mailto:tsplhq@trafitek.com" TargetMode="External"/><Relationship Id="rId722" Type="http://schemas.openxmlformats.org/officeDocument/2006/relationships/hyperlink" Target="mailto:aquatechcorporation07@gmail.com" TargetMode="External"/><Relationship Id="rId89" Type="http://schemas.openxmlformats.org/officeDocument/2006/relationships/hyperlink" Target="https://drive.google.com/file/d/1AJ3ERAHEg2lJh8Et0Cf0C46XnwnDGIEa/view?usp=drive_link" TargetMode="External"/><Relationship Id="rId154" Type="http://schemas.openxmlformats.org/officeDocument/2006/relationships/hyperlink" Target="https://drive.google.com/file/d/1rIwKKOzjfDCH1UqyW3Rihcs_6wUt42Op/view?usp=drive_link" TargetMode="External"/><Relationship Id="rId361" Type="http://schemas.openxmlformats.org/officeDocument/2006/relationships/hyperlink" Target="mailto:tender@waghindia.com" TargetMode="External"/><Relationship Id="rId599" Type="http://schemas.openxmlformats.org/officeDocument/2006/relationships/hyperlink" Target="mailto:suvaselectricals@gmail.com" TargetMode="External"/><Relationship Id="rId459" Type="http://schemas.openxmlformats.org/officeDocument/2006/relationships/hyperlink" Target="mailto:sales@khushbooscientific.com" TargetMode="External"/><Relationship Id="rId666" Type="http://schemas.openxmlformats.org/officeDocument/2006/relationships/hyperlink" Target="mailto:pjj.pec@gmail.com" TargetMode="External"/><Relationship Id="rId16" Type="http://schemas.openxmlformats.org/officeDocument/2006/relationships/hyperlink" Target="https://drive.google.com/file/d/1_HtA0GsH4uEjGz-8VUf4_DmtqlB4qMz7/view?usp=drive_link" TargetMode="External"/><Relationship Id="rId221" Type="http://schemas.openxmlformats.org/officeDocument/2006/relationships/hyperlink" Target="https://drive.google.com/file/d/1DGOdXNli7b0Jp27NhsjPtORgWUtNylaS/view?usp=drive_link" TargetMode="External"/><Relationship Id="rId319" Type="http://schemas.openxmlformats.org/officeDocument/2006/relationships/hyperlink" Target="mailto:tender@waghindia.com" TargetMode="External"/><Relationship Id="rId526" Type="http://schemas.openxmlformats.org/officeDocument/2006/relationships/hyperlink" Target="mailto:bhagirathinteriors@gmail.com" TargetMode="External"/><Relationship Id="rId733" Type="http://schemas.openxmlformats.org/officeDocument/2006/relationships/hyperlink" Target="mailto:santajikadam@yahoo.co.in" TargetMode="External"/><Relationship Id="rId165" Type="http://schemas.openxmlformats.org/officeDocument/2006/relationships/hyperlink" Target="https://drive.google.com/file/d/1u-3Jan7eaMJW61vGhFJodFuo6c0y9d2q/view?usp=drive_link" TargetMode="External"/><Relationship Id="rId372" Type="http://schemas.openxmlformats.org/officeDocument/2006/relationships/hyperlink" Target="mailto:tender@waghindia.com" TargetMode="External"/><Relationship Id="rId677" Type="http://schemas.openxmlformats.org/officeDocument/2006/relationships/hyperlink" Target="mailto:pjj.pec@gmail.com" TargetMode="External"/><Relationship Id="rId232" Type="http://schemas.openxmlformats.org/officeDocument/2006/relationships/hyperlink" Target="https://drive.google.com/file/d/1n7xDfEK3ee3K4OHVNmGWL3N80tjU7CRl/view?usp=drive_link" TargetMode="External"/><Relationship Id="rId27" Type="http://schemas.openxmlformats.org/officeDocument/2006/relationships/hyperlink" Target="https://drive.google.com/file/d/1NvcKoXyv0vHLrPjna67b-GxP2-yhoMAY/view?usp=drive_link" TargetMode="External"/><Relationship Id="rId537" Type="http://schemas.openxmlformats.org/officeDocument/2006/relationships/hyperlink" Target="https://drive.google.com/file/d/132lH8lvAoHH4EYP36fRxy5BPVwHN9HVS/view?usp=drive_link" TargetMode="External"/><Relationship Id="rId744" Type="http://schemas.openxmlformats.org/officeDocument/2006/relationships/hyperlink" Target="mailto:pjj.pec@gmail.com" TargetMode="External"/><Relationship Id="rId80" Type="http://schemas.openxmlformats.org/officeDocument/2006/relationships/hyperlink" Target="https://drive.google.com/file/d/1PEsbMrb_Oe8pxolMf4RPt4e41SREh7nR/view?usp=drive_link" TargetMode="External"/><Relationship Id="rId176" Type="http://schemas.openxmlformats.org/officeDocument/2006/relationships/hyperlink" Target="https://drive.google.com/file/d/1gslkR5Uffm5ry_HOUP0QuCI1zLrjBz_m/view?usp=drive_link" TargetMode="External"/><Relationship Id="rId383" Type="http://schemas.openxmlformats.org/officeDocument/2006/relationships/hyperlink" Target="https://drive.google.com/file/d/1cy_ltcFUV8gaHBZ8G3ydl8_45eHiw9_f/view?usp=drive_link" TargetMode="External"/><Relationship Id="rId590" Type="http://schemas.openxmlformats.org/officeDocument/2006/relationships/hyperlink" Target="mailto:suvaselectricals@gmail.com" TargetMode="External"/><Relationship Id="rId604" Type="http://schemas.openxmlformats.org/officeDocument/2006/relationships/hyperlink" Target="mailto:suvaselectricals@gmail.com" TargetMode="External"/><Relationship Id="rId243" Type="http://schemas.openxmlformats.org/officeDocument/2006/relationships/hyperlink" Target="https://drive.google.com/file/d/1aK5uwGWbnQCKeToXw-Pkqi-va1mF0eHo/view?usp=drive_link" TargetMode="External"/><Relationship Id="rId450" Type="http://schemas.openxmlformats.org/officeDocument/2006/relationships/hyperlink" Target="mailto:bhagirathinteriors@gmail.com" TargetMode="External"/><Relationship Id="rId688" Type="http://schemas.openxmlformats.org/officeDocument/2006/relationships/hyperlink" Target="mailto:pjj.pec@gmail.com" TargetMode="External"/><Relationship Id="rId38" Type="http://schemas.openxmlformats.org/officeDocument/2006/relationships/hyperlink" Target="https://drive.google.com/file/d/1oN-d-RpaELpc5qrgOmrIM3C_y_CayOfH/view?usp=drive_link" TargetMode="External"/><Relationship Id="rId103" Type="http://schemas.openxmlformats.org/officeDocument/2006/relationships/hyperlink" Target="https://drive.google.com/file/d/1AcUkKWqol0MO2FLcxYUepFrw6AyxARK5/view?usp=drive_link" TargetMode="External"/><Relationship Id="rId310" Type="http://schemas.openxmlformats.org/officeDocument/2006/relationships/hyperlink" Target="mailto:sales@khushbooscientific.com" TargetMode="External"/><Relationship Id="rId548" Type="http://schemas.openxmlformats.org/officeDocument/2006/relationships/hyperlink" Target="mailto:bhagirathinteriors@gmail.com" TargetMode="External"/><Relationship Id="rId755" Type="http://schemas.openxmlformats.org/officeDocument/2006/relationships/hyperlink" Target="mailto:bhagirathinteriors@gmail.com" TargetMode="External"/><Relationship Id="rId91" Type="http://schemas.openxmlformats.org/officeDocument/2006/relationships/hyperlink" Target="mailto:Pankaj@sfec.in" TargetMode="External"/><Relationship Id="rId187" Type="http://schemas.openxmlformats.org/officeDocument/2006/relationships/hyperlink" Target="https://drive.google.com/file/d/1Nmr52hx9r6_2pRgkyA-uWkqMVheUIRgY/view?usp=drive_link" TargetMode="External"/><Relationship Id="rId394" Type="http://schemas.openxmlformats.org/officeDocument/2006/relationships/hyperlink" Target="mailto:Pankaj@sfec.in" TargetMode="External"/><Relationship Id="rId408" Type="http://schemas.openxmlformats.org/officeDocument/2006/relationships/hyperlink" Target="mailto:Pankaj@sfec.in" TargetMode="External"/><Relationship Id="rId615" Type="http://schemas.openxmlformats.org/officeDocument/2006/relationships/hyperlink" Target="mailto:Contactus@friendsengg.in" TargetMode="External"/><Relationship Id="rId254" Type="http://schemas.openxmlformats.org/officeDocument/2006/relationships/hyperlink" Target="mailto:kasturisteelfurniture@gmail.com" TargetMode="External"/><Relationship Id="rId699" Type="http://schemas.openxmlformats.org/officeDocument/2006/relationships/hyperlink" Target="mailto:achalaee@gamil.com" TargetMode="External"/><Relationship Id="rId49" Type="http://schemas.openxmlformats.org/officeDocument/2006/relationships/hyperlink" Target="https://drive.google.com/file/d/1pb57h2muBXZftKLoe-MvH0OoixN_vtoU/view?usp=drive_link" TargetMode="External"/><Relationship Id="rId114" Type="http://schemas.openxmlformats.org/officeDocument/2006/relationships/hyperlink" Target="https://drive.google.com/file/d/1qElFQnZNvbl7a3JdLbplL-S_V8jJxMsc/view?usp=drive_link" TargetMode="External"/><Relationship Id="rId461" Type="http://schemas.openxmlformats.org/officeDocument/2006/relationships/hyperlink" Target="mailto:sales@khushbooscientific.com" TargetMode="External"/><Relationship Id="rId559" Type="http://schemas.openxmlformats.org/officeDocument/2006/relationships/hyperlink" Target="mailto:Contactus@friendsengg.in" TargetMode="External"/><Relationship Id="rId766" Type="http://schemas.openxmlformats.org/officeDocument/2006/relationships/hyperlink" Target="mailto:hitechnm2@gmail.com" TargetMode="External"/><Relationship Id="rId198" Type="http://schemas.openxmlformats.org/officeDocument/2006/relationships/hyperlink" Target="https://drive.google.com/file/d/1IbBdre4RiYqNbIMt95pAAqE4r3jbeVp6/view?usp=drive_link" TargetMode="External"/><Relationship Id="rId321" Type="http://schemas.openxmlformats.org/officeDocument/2006/relationships/hyperlink" Target="mailto:tender@waghindia.com" TargetMode="External"/><Relationship Id="rId419" Type="http://schemas.openxmlformats.org/officeDocument/2006/relationships/hyperlink" Target="mailto:bhagirathinteriors@gmail.com" TargetMode="External"/><Relationship Id="rId626" Type="http://schemas.openxmlformats.org/officeDocument/2006/relationships/hyperlink" Target="mailto:suvaselectricals@gmail.com" TargetMode="External"/><Relationship Id="rId265" Type="http://schemas.openxmlformats.org/officeDocument/2006/relationships/hyperlink" Target="https://drive.google.com/file/d/1IEdGocFPdfAGYBa43QTu9WFDze5OOrpy/view?usp=drive_link" TargetMode="External"/><Relationship Id="rId472" Type="http://schemas.openxmlformats.org/officeDocument/2006/relationships/hyperlink" Target="mailto:tsplhq@trafitek.com" TargetMode="External"/><Relationship Id="rId125" Type="http://schemas.openxmlformats.org/officeDocument/2006/relationships/hyperlink" Target="https://drive.google.com/file/d/1a3QVwTEjevmTNYaahSopSDa7a4zNv0LQ/view?usp=drive_link" TargetMode="External"/><Relationship Id="rId332" Type="http://schemas.openxmlformats.org/officeDocument/2006/relationships/hyperlink" Target="mailto:tender@waghindia.com" TargetMode="External"/><Relationship Id="rId637" Type="http://schemas.openxmlformats.org/officeDocument/2006/relationships/hyperlink" Target="mailto:suvaselectricals@gmail.com" TargetMode="External"/><Relationship Id="rId276" Type="http://schemas.openxmlformats.org/officeDocument/2006/relationships/hyperlink" Target="https://drive.google.com/file/d/1E7aeB2ZwB6uyobX7LHq1qQzV5HsSOycp/view?usp=drive_link" TargetMode="External"/><Relationship Id="rId483" Type="http://schemas.openxmlformats.org/officeDocument/2006/relationships/hyperlink" Target="mailto:tsplhq@trafitek.com" TargetMode="External"/><Relationship Id="rId690" Type="http://schemas.openxmlformats.org/officeDocument/2006/relationships/hyperlink" Target="mailto:suvaselectricals@gmail.com" TargetMode="External"/><Relationship Id="rId704" Type="http://schemas.openxmlformats.org/officeDocument/2006/relationships/hyperlink" Target="mailto:achalaee@gamil.com" TargetMode="External"/><Relationship Id="rId40" Type="http://schemas.openxmlformats.org/officeDocument/2006/relationships/hyperlink" Target="https://drive.google.com/file/d/1igr9BVP6ewLW6resXOCTvZWj9SQUVJzW/view?usp=drive_link" TargetMode="External"/><Relationship Id="rId136" Type="http://schemas.openxmlformats.org/officeDocument/2006/relationships/hyperlink" Target="mailto:Pankaj@sfec.in" TargetMode="External"/><Relationship Id="rId343" Type="http://schemas.openxmlformats.org/officeDocument/2006/relationships/hyperlink" Target="mailto:tender@waghindia.com" TargetMode="External"/><Relationship Id="rId550" Type="http://schemas.openxmlformats.org/officeDocument/2006/relationships/hyperlink" Target="mailto:bhagirathinteriors@gmail.com" TargetMode="External"/><Relationship Id="rId203" Type="http://schemas.openxmlformats.org/officeDocument/2006/relationships/hyperlink" Target="https://drive.google.com/file/d/1aOKsg5KCscbawLDt-uR-xDreYUOpNbqZ/view?usp=drive_link" TargetMode="External"/><Relationship Id="rId648" Type="http://schemas.openxmlformats.org/officeDocument/2006/relationships/hyperlink" Target="mailto:suvaselectricals@gmail.com" TargetMode="External"/><Relationship Id="rId287" Type="http://schemas.openxmlformats.org/officeDocument/2006/relationships/hyperlink" Target="https://drive.google.com/file/d/1tTWs2yzECnkq630fFkJ5LSoSmBY7Jg-z/view?usp=drive_link" TargetMode="External"/><Relationship Id="rId410" Type="http://schemas.openxmlformats.org/officeDocument/2006/relationships/hyperlink" Target="mailto:Pankaj@sfec.in" TargetMode="External"/><Relationship Id="rId494" Type="http://schemas.openxmlformats.org/officeDocument/2006/relationships/hyperlink" Target="mailto:tsplhq@trafitek.com" TargetMode="External"/><Relationship Id="rId508" Type="http://schemas.openxmlformats.org/officeDocument/2006/relationships/hyperlink" Target="mailto:tsplhq@trafitek.com" TargetMode="External"/><Relationship Id="rId715" Type="http://schemas.openxmlformats.org/officeDocument/2006/relationships/hyperlink" Target="mailto:Contactus@friendsengg.in" TargetMode="External"/><Relationship Id="rId147" Type="http://schemas.openxmlformats.org/officeDocument/2006/relationships/hyperlink" Target="https://drive.google.com/file/d/18w1cdr09hK3cINdIwKobcRWjTY_I5-jL/view?usp=drive_link" TargetMode="External"/><Relationship Id="rId354" Type="http://schemas.openxmlformats.org/officeDocument/2006/relationships/hyperlink" Target="mailto:suvaselectricals@gmail.com" TargetMode="External"/><Relationship Id="rId51" Type="http://schemas.openxmlformats.org/officeDocument/2006/relationships/hyperlink" Target="https://drive.google.com/file/d/1pb57h2muBXZftKLoe-MvH0OoixN_vtoU/view?usp=drive_link" TargetMode="External"/><Relationship Id="rId561" Type="http://schemas.openxmlformats.org/officeDocument/2006/relationships/hyperlink" Target="mailto:Contactus@friendsengg.in" TargetMode="External"/><Relationship Id="rId659" Type="http://schemas.openxmlformats.org/officeDocument/2006/relationships/hyperlink" Target="mailto:kasturisteelfurniture@gmail.com" TargetMode="External"/><Relationship Id="rId214" Type="http://schemas.openxmlformats.org/officeDocument/2006/relationships/hyperlink" Target="https://drive.google.com/file/d/1fhY_CQfGbpMbEU45MMnVxqn4BXRcDxE5/view?usp=drive_link" TargetMode="External"/><Relationship Id="rId298" Type="http://schemas.openxmlformats.org/officeDocument/2006/relationships/hyperlink" Target="mailto:bhagirathinteriors@gmail.com" TargetMode="External"/><Relationship Id="rId421" Type="http://schemas.openxmlformats.org/officeDocument/2006/relationships/hyperlink" Target="mailto:bhagirathinteriors@gmail.com" TargetMode="External"/><Relationship Id="rId519" Type="http://schemas.openxmlformats.org/officeDocument/2006/relationships/hyperlink" Target="mailto:tsplhq@trafitek.com" TargetMode="External"/><Relationship Id="rId158" Type="http://schemas.openxmlformats.org/officeDocument/2006/relationships/hyperlink" Target="https://drive.google.com/file/d/1cy_ltcFUV8gaHBZ8G3ydl8_45eHiw9_f/view?usp=drive_link" TargetMode="External"/><Relationship Id="rId726" Type="http://schemas.openxmlformats.org/officeDocument/2006/relationships/hyperlink" Target="mailto:santajikadam@yahoo.co.in" TargetMode="External"/><Relationship Id="rId62" Type="http://schemas.openxmlformats.org/officeDocument/2006/relationships/hyperlink" Target="https://drive.google.com/file/d/1pvWozoiBAxF041POLE6jICfEIVp8f3py/view?usp=drive_link" TargetMode="External"/><Relationship Id="rId365" Type="http://schemas.openxmlformats.org/officeDocument/2006/relationships/hyperlink" Target="mailto:tender@waghindia.com" TargetMode="External"/><Relationship Id="rId572" Type="http://schemas.openxmlformats.org/officeDocument/2006/relationships/hyperlink" Target="mailto:Contactus@friendsengg.in" TargetMode="External"/><Relationship Id="rId225" Type="http://schemas.openxmlformats.org/officeDocument/2006/relationships/hyperlink" Target="https://drive.google.com/file/d/1DGOdXNli7b0Jp27NhsjPtORgWUtNylaS/view?usp=drive_link" TargetMode="External"/><Relationship Id="rId432" Type="http://schemas.openxmlformats.org/officeDocument/2006/relationships/hyperlink" Target="mailto:kasturisteelfurniture@gmail.com" TargetMode="External"/><Relationship Id="rId737" Type="http://schemas.openxmlformats.org/officeDocument/2006/relationships/hyperlink" Target="mailto:Manaelectric@gmail.com" TargetMode="External"/><Relationship Id="rId73" Type="http://schemas.openxmlformats.org/officeDocument/2006/relationships/hyperlink" Target="https://drive.google.com/file/d/1q0WWvKhBlWFiFPvit_Q2U1yEjZesYbqE/view?usp=drive_link" TargetMode="External"/><Relationship Id="rId169" Type="http://schemas.openxmlformats.org/officeDocument/2006/relationships/hyperlink" Target="mailto:computechgreen@gmail.com" TargetMode="External"/><Relationship Id="rId376" Type="http://schemas.openxmlformats.org/officeDocument/2006/relationships/hyperlink" Target="mailto:Pankaj@sfec.in" TargetMode="External"/><Relationship Id="rId583" Type="http://schemas.openxmlformats.org/officeDocument/2006/relationships/hyperlink" Target="mailto:suvaselectricals@gmail.com" TargetMode="External"/><Relationship Id="rId4" Type="http://schemas.openxmlformats.org/officeDocument/2006/relationships/hyperlink" Target="mailto:bhagirathinteriors@gmail.com" TargetMode="External"/><Relationship Id="rId236" Type="http://schemas.openxmlformats.org/officeDocument/2006/relationships/hyperlink" Target="https://drive.google.com/file/d/1F1UsQwLBgh0Aft_5LFxl1gvrqUUrA2UU/view?usp=drive_link" TargetMode="External"/><Relationship Id="rId443" Type="http://schemas.openxmlformats.org/officeDocument/2006/relationships/hyperlink" Target="https://drive.google.com/file/d/1t5FsQwpOYEo0Xr5R9hu0z2EuWo8gHrG9/view?usp=drive_link" TargetMode="External"/><Relationship Id="rId650" Type="http://schemas.openxmlformats.org/officeDocument/2006/relationships/hyperlink" Target="mailto:suvaselectrical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048533"/>
  <sheetViews>
    <sheetView tabSelected="1" topLeftCell="L1" zoomScale="114" zoomScaleNormal="115" workbookViewId="0">
      <selection activeCell="P1" sqref="P1"/>
    </sheetView>
  </sheetViews>
  <sheetFormatPr defaultRowHeight="13.2" x14ac:dyDescent="0.3"/>
  <cols>
    <col min="1" max="1" width="24.33203125" style="65" customWidth="1"/>
    <col min="2" max="2" width="32.77734375" style="66" customWidth="1"/>
    <col min="3" max="3" width="14.77734375" style="65" bestFit="1" customWidth="1"/>
    <col min="4" max="4" width="27.21875" style="65" bestFit="1" customWidth="1"/>
    <col min="5" max="5" width="5.88671875" style="67" bestFit="1" customWidth="1"/>
    <col min="6" max="6" width="39.6640625" style="65" bestFit="1" customWidth="1"/>
    <col min="7" max="7" width="11.33203125" style="67" bestFit="1" customWidth="1"/>
    <col min="8" max="8" width="17.88671875" style="67" bestFit="1" customWidth="1"/>
    <col min="9" max="9" width="19.21875" style="67" bestFit="1" customWidth="1"/>
    <col min="10" max="10" width="10" style="67" bestFit="1" customWidth="1"/>
    <col min="11" max="11" width="22.44140625" style="67" bestFit="1" customWidth="1"/>
    <col min="12" max="12" width="18.44140625" style="67" bestFit="1" customWidth="1"/>
    <col min="13" max="13" width="16.21875" style="67" bestFit="1" customWidth="1"/>
    <col min="14" max="14" width="9" style="68" bestFit="1" customWidth="1"/>
    <col min="15" max="15" width="14" style="69" bestFit="1" customWidth="1"/>
    <col min="16" max="16" width="14.44140625" style="67" bestFit="1" customWidth="1"/>
    <col min="17" max="17" width="27.44140625" style="67" bestFit="1" customWidth="1"/>
    <col min="18" max="18" width="18.6640625" style="67" bestFit="1" customWidth="1"/>
    <col min="19" max="19" width="54.77734375" style="67" customWidth="1"/>
    <col min="20" max="20" width="8.77734375" style="67" bestFit="1" customWidth="1"/>
    <col min="21" max="21" width="36.109375" style="67" bestFit="1" customWidth="1"/>
    <col min="22" max="16384" width="8.88671875" style="67"/>
  </cols>
  <sheetData>
    <row r="1" spans="1:21" s="63" customFormat="1" ht="1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1089</v>
      </c>
      <c r="L1" s="10" t="s">
        <v>10</v>
      </c>
      <c r="M1" s="10" t="s">
        <v>11</v>
      </c>
      <c r="N1" s="74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</row>
    <row r="2" spans="1:21" s="61" customFormat="1" ht="26.4" x14ac:dyDescent="0.3">
      <c r="A2" s="42" t="s">
        <v>22</v>
      </c>
      <c r="B2" s="5" t="s">
        <v>1267</v>
      </c>
      <c r="C2" s="5" t="s">
        <v>1192</v>
      </c>
      <c r="D2" s="5" t="s">
        <v>22</v>
      </c>
      <c r="E2" s="5">
        <v>1</v>
      </c>
      <c r="F2" s="5" t="s">
        <v>1287</v>
      </c>
      <c r="G2" s="11" t="s">
        <v>23</v>
      </c>
      <c r="H2" s="5" t="s">
        <v>1046</v>
      </c>
      <c r="I2" s="11" t="s">
        <v>25</v>
      </c>
      <c r="J2" s="11" t="s">
        <v>26</v>
      </c>
      <c r="K2" s="52">
        <v>42140</v>
      </c>
      <c r="L2" s="52">
        <v>46086</v>
      </c>
      <c r="M2" s="5" t="s">
        <v>1224</v>
      </c>
      <c r="N2" s="55">
        <v>47868200</v>
      </c>
      <c r="O2" s="5">
        <f>N2*E2</f>
        <v>47868200</v>
      </c>
      <c r="P2" s="5" t="s">
        <v>50</v>
      </c>
      <c r="Q2" s="5" t="s">
        <v>37</v>
      </c>
      <c r="R2" s="34">
        <v>8044464585</v>
      </c>
      <c r="S2" s="5" t="s">
        <v>1223</v>
      </c>
      <c r="T2" s="5" t="s">
        <v>643</v>
      </c>
      <c r="U2" s="5"/>
    </row>
    <row r="3" spans="1:21" s="1" customFormat="1" ht="39.6" x14ac:dyDescent="0.3">
      <c r="A3" s="11" t="s">
        <v>1113</v>
      </c>
      <c r="B3" s="11" t="s">
        <v>1115</v>
      </c>
      <c r="C3" s="5" t="s">
        <v>1114</v>
      </c>
      <c r="D3" s="5" t="s">
        <v>22</v>
      </c>
      <c r="E3" s="11">
        <v>1</v>
      </c>
      <c r="F3" s="11" t="s">
        <v>1112</v>
      </c>
      <c r="G3" s="11" t="s">
        <v>23</v>
      </c>
      <c r="H3" s="11" t="s">
        <v>24</v>
      </c>
      <c r="I3" s="11" t="s">
        <v>25</v>
      </c>
      <c r="J3" s="11" t="s">
        <v>26</v>
      </c>
      <c r="K3" s="52">
        <v>44961</v>
      </c>
      <c r="L3" s="52">
        <v>46071</v>
      </c>
      <c r="M3" s="5" t="s">
        <v>938</v>
      </c>
      <c r="N3" s="5">
        <v>11352500</v>
      </c>
      <c r="O3" s="55">
        <f>N3*E3</f>
        <v>11352500</v>
      </c>
      <c r="P3" s="5" t="s">
        <v>73</v>
      </c>
      <c r="Q3" s="47" t="s">
        <v>1120</v>
      </c>
      <c r="R3" s="5" t="s">
        <v>1121</v>
      </c>
      <c r="S3" s="5" t="s">
        <v>1122</v>
      </c>
      <c r="T3" s="5" t="s">
        <v>58</v>
      </c>
      <c r="U3" s="73" t="s">
        <v>20</v>
      </c>
    </row>
    <row r="4" spans="1:21" s="1" customFormat="1" ht="39.6" x14ac:dyDescent="0.3">
      <c r="A4" s="11" t="s">
        <v>1124</v>
      </c>
      <c r="B4" s="11" t="s">
        <v>1123</v>
      </c>
      <c r="C4" s="5" t="s">
        <v>1114</v>
      </c>
      <c r="D4" s="5" t="s">
        <v>22</v>
      </c>
      <c r="E4" s="11">
        <v>1</v>
      </c>
      <c r="F4" s="11" t="s">
        <v>1105</v>
      </c>
      <c r="G4" s="11" t="s">
        <v>23</v>
      </c>
      <c r="H4" s="11" t="s">
        <v>24</v>
      </c>
      <c r="I4" s="11" t="s">
        <v>25</v>
      </c>
      <c r="J4" s="11" t="s">
        <v>26</v>
      </c>
      <c r="K4" s="52">
        <v>43908</v>
      </c>
      <c r="L4" s="52">
        <v>46076</v>
      </c>
      <c r="M4" s="5" t="s">
        <v>1130</v>
      </c>
      <c r="N4" s="5">
        <v>11352500</v>
      </c>
      <c r="O4" s="55">
        <f>N4*E4</f>
        <v>11352500</v>
      </c>
      <c r="P4" s="5" t="s">
        <v>73</v>
      </c>
      <c r="Q4" s="43" t="s">
        <v>393</v>
      </c>
      <c r="R4" s="5">
        <v>25447696</v>
      </c>
      <c r="S4" s="5" t="s">
        <v>394</v>
      </c>
      <c r="T4" s="5" t="s">
        <v>58</v>
      </c>
      <c r="U4" s="73" t="s">
        <v>27</v>
      </c>
    </row>
    <row r="5" spans="1:21" s="1" customFormat="1" ht="26.4" x14ac:dyDescent="0.3">
      <c r="A5" s="11" t="s">
        <v>33</v>
      </c>
      <c r="B5" s="11" t="s">
        <v>34</v>
      </c>
      <c r="C5" s="5" t="s">
        <v>21</v>
      </c>
      <c r="D5" s="5" t="s">
        <v>22</v>
      </c>
      <c r="E5" s="11">
        <v>1</v>
      </c>
      <c r="F5" s="11" t="s">
        <v>28</v>
      </c>
      <c r="G5" s="11" t="s">
        <v>23</v>
      </c>
      <c r="H5" s="11" t="s">
        <v>24</v>
      </c>
      <c r="I5" s="11" t="s">
        <v>25</v>
      </c>
      <c r="J5" s="11" t="s">
        <v>26</v>
      </c>
      <c r="K5" s="50">
        <v>45016</v>
      </c>
      <c r="L5" s="50">
        <v>46065</v>
      </c>
      <c r="M5" s="11" t="s">
        <v>29</v>
      </c>
      <c r="N5" s="11">
        <v>10600000</v>
      </c>
      <c r="O5" s="55">
        <f t="shared" ref="O5:O65" si="0">N5*E5</f>
        <v>10600000</v>
      </c>
      <c r="P5" s="5" t="s">
        <v>73</v>
      </c>
      <c r="Q5" s="47" t="s">
        <v>30</v>
      </c>
      <c r="R5" s="31">
        <v>9594357635</v>
      </c>
      <c r="S5" s="31" t="s">
        <v>31</v>
      </c>
      <c r="T5" s="11" t="s">
        <v>32</v>
      </c>
      <c r="U5" s="73" t="s">
        <v>33</v>
      </c>
    </row>
    <row r="6" spans="1:21" s="1" customFormat="1" ht="26.4" x14ac:dyDescent="0.3">
      <c r="A6" s="11" t="s">
        <v>35</v>
      </c>
      <c r="B6" s="11" t="s">
        <v>36</v>
      </c>
      <c r="C6" s="5" t="s">
        <v>21</v>
      </c>
      <c r="D6" s="5" t="s">
        <v>22</v>
      </c>
      <c r="E6" s="11">
        <v>1</v>
      </c>
      <c r="F6" s="11" t="s">
        <v>28</v>
      </c>
      <c r="G6" s="11" t="s">
        <v>23</v>
      </c>
      <c r="H6" s="11" t="s">
        <v>24</v>
      </c>
      <c r="I6" s="11" t="s">
        <v>25</v>
      </c>
      <c r="J6" s="11" t="s">
        <v>26</v>
      </c>
      <c r="K6" s="50">
        <v>45016</v>
      </c>
      <c r="L6" s="50">
        <v>46065</v>
      </c>
      <c r="M6" s="11" t="s">
        <v>29</v>
      </c>
      <c r="N6" s="11">
        <v>10600000</v>
      </c>
      <c r="O6" s="55">
        <f t="shared" si="0"/>
        <v>10600000</v>
      </c>
      <c r="P6" s="5" t="s">
        <v>73</v>
      </c>
      <c r="Q6" s="47" t="s">
        <v>30</v>
      </c>
      <c r="R6" s="31">
        <v>9594357635</v>
      </c>
      <c r="S6" s="31" t="s">
        <v>31</v>
      </c>
      <c r="T6" s="11" t="s">
        <v>32</v>
      </c>
      <c r="U6" s="11" t="s">
        <v>37</v>
      </c>
    </row>
    <row r="7" spans="1:21" s="1" customFormat="1" ht="26.4" x14ac:dyDescent="0.3">
      <c r="A7" s="11" t="s">
        <v>38</v>
      </c>
      <c r="B7" s="11" t="s">
        <v>39</v>
      </c>
      <c r="C7" s="5" t="s">
        <v>21</v>
      </c>
      <c r="D7" s="5" t="s">
        <v>22</v>
      </c>
      <c r="E7" s="11">
        <v>1</v>
      </c>
      <c r="F7" s="11" t="s">
        <v>28</v>
      </c>
      <c r="G7" s="11" t="s">
        <v>23</v>
      </c>
      <c r="H7" s="11" t="s">
        <v>24</v>
      </c>
      <c r="I7" s="11" t="s">
        <v>25</v>
      </c>
      <c r="J7" s="11" t="s">
        <v>26</v>
      </c>
      <c r="K7" s="50">
        <v>45441</v>
      </c>
      <c r="L7" s="50">
        <v>46052</v>
      </c>
      <c r="M7" s="11" t="s">
        <v>40</v>
      </c>
      <c r="N7" s="11">
        <v>12190000</v>
      </c>
      <c r="O7" s="55">
        <f t="shared" si="0"/>
        <v>12190000</v>
      </c>
      <c r="P7" s="5" t="s">
        <v>73</v>
      </c>
      <c r="Q7" s="47" t="s">
        <v>30</v>
      </c>
      <c r="R7" s="31">
        <v>9594357635</v>
      </c>
      <c r="S7" s="31" t="s">
        <v>31</v>
      </c>
      <c r="T7" s="11" t="s">
        <v>41</v>
      </c>
      <c r="U7" s="73" t="s">
        <v>38</v>
      </c>
    </row>
    <row r="8" spans="1:21" s="1" customFormat="1" ht="26.4" x14ac:dyDescent="0.3">
      <c r="A8" s="11" t="s">
        <v>42</v>
      </c>
      <c r="B8" s="11" t="s">
        <v>43</v>
      </c>
      <c r="C8" s="5" t="s">
        <v>21</v>
      </c>
      <c r="D8" s="5" t="s">
        <v>22</v>
      </c>
      <c r="E8" s="11">
        <v>1</v>
      </c>
      <c r="F8" s="11" t="s">
        <v>28</v>
      </c>
      <c r="G8" s="11" t="s">
        <v>23</v>
      </c>
      <c r="H8" s="11" t="s">
        <v>24</v>
      </c>
      <c r="I8" s="11" t="s">
        <v>25</v>
      </c>
      <c r="J8" s="11" t="s">
        <v>26</v>
      </c>
      <c r="K8" s="50">
        <v>45441</v>
      </c>
      <c r="L8" s="50">
        <v>46052</v>
      </c>
      <c r="M8" s="11" t="s">
        <v>40</v>
      </c>
      <c r="N8" s="11">
        <v>12190000</v>
      </c>
      <c r="O8" s="55">
        <f t="shared" si="0"/>
        <v>12190000</v>
      </c>
      <c r="P8" s="5" t="s">
        <v>73</v>
      </c>
      <c r="Q8" s="47" t="s">
        <v>30</v>
      </c>
      <c r="R8" s="31">
        <v>9594357635</v>
      </c>
      <c r="S8" s="31" t="s">
        <v>31</v>
      </c>
      <c r="T8" s="11" t="s">
        <v>41</v>
      </c>
      <c r="U8" s="73" t="s">
        <v>42</v>
      </c>
    </row>
    <row r="9" spans="1:21" s="1" customFormat="1" ht="14.4" x14ac:dyDescent="0.3">
      <c r="A9" s="11" t="s">
        <v>44</v>
      </c>
      <c r="B9" s="11" t="s">
        <v>45</v>
      </c>
      <c r="C9" s="5" t="s">
        <v>46</v>
      </c>
      <c r="D9" s="5" t="s">
        <v>22</v>
      </c>
      <c r="E9" s="11">
        <v>1</v>
      </c>
      <c r="F9" s="11" t="s">
        <v>37</v>
      </c>
      <c r="G9" s="11" t="s">
        <v>23</v>
      </c>
      <c r="H9" s="11" t="s">
        <v>24</v>
      </c>
      <c r="I9" s="11" t="s">
        <v>25</v>
      </c>
      <c r="J9" s="11" t="s">
        <v>26</v>
      </c>
      <c r="K9" s="50">
        <v>25569</v>
      </c>
      <c r="L9" s="50">
        <v>46065</v>
      </c>
      <c r="M9" s="11" t="s">
        <v>37</v>
      </c>
      <c r="N9" s="11">
        <v>0</v>
      </c>
      <c r="O9" s="55">
        <f t="shared" si="0"/>
        <v>0</v>
      </c>
      <c r="P9" s="5" t="s">
        <v>73</v>
      </c>
      <c r="Q9" s="11" t="s">
        <v>37</v>
      </c>
      <c r="R9" s="11" t="s">
        <v>37</v>
      </c>
      <c r="S9" s="11" t="s">
        <v>37</v>
      </c>
      <c r="T9" s="11" t="s">
        <v>37</v>
      </c>
      <c r="U9" s="73" t="s">
        <v>44</v>
      </c>
    </row>
    <row r="10" spans="1:21" s="1" customFormat="1" ht="14.4" x14ac:dyDescent="0.3">
      <c r="A10" s="11" t="s">
        <v>47</v>
      </c>
      <c r="B10" s="11" t="s">
        <v>45</v>
      </c>
      <c r="C10" s="11" t="s">
        <v>46</v>
      </c>
      <c r="D10" s="5" t="s">
        <v>22</v>
      </c>
      <c r="E10" s="11">
        <v>1</v>
      </c>
      <c r="F10" s="11" t="s">
        <v>37</v>
      </c>
      <c r="G10" s="11" t="s">
        <v>23</v>
      </c>
      <c r="H10" s="11" t="s">
        <v>24</v>
      </c>
      <c r="I10" s="11" t="s">
        <v>25</v>
      </c>
      <c r="J10" s="11" t="s">
        <v>26</v>
      </c>
      <c r="K10" s="50">
        <v>25569</v>
      </c>
      <c r="L10" s="50">
        <v>46065</v>
      </c>
      <c r="M10" s="11" t="s">
        <v>37</v>
      </c>
      <c r="N10" s="11">
        <v>0</v>
      </c>
      <c r="O10" s="55">
        <f t="shared" si="0"/>
        <v>0</v>
      </c>
      <c r="P10" s="5" t="s">
        <v>73</v>
      </c>
      <c r="Q10" s="11" t="s">
        <v>37</v>
      </c>
      <c r="R10" s="11" t="s">
        <v>37</v>
      </c>
      <c r="S10" s="11" t="s">
        <v>37</v>
      </c>
      <c r="T10" s="11" t="s">
        <v>37</v>
      </c>
      <c r="U10" s="11" t="s">
        <v>37</v>
      </c>
    </row>
    <row r="11" spans="1:21" s="1" customFormat="1" ht="26.4" x14ac:dyDescent="0.3">
      <c r="A11" s="5" t="s">
        <v>20</v>
      </c>
      <c r="B11" s="11" t="s">
        <v>48</v>
      </c>
      <c r="C11" s="11" t="s">
        <v>46</v>
      </c>
      <c r="D11" s="11" t="s">
        <v>49</v>
      </c>
      <c r="E11" s="11">
        <v>1</v>
      </c>
      <c r="F11" s="11" t="s">
        <v>37</v>
      </c>
      <c r="G11" s="11" t="s">
        <v>23</v>
      </c>
      <c r="H11" s="11" t="s">
        <v>24</v>
      </c>
      <c r="I11" s="11" t="s">
        <v>25</v>
      </c>
      <c r="J11" s="11" t="s">
        <v>26</v>
      </c>
      <c r="K11" s="11" t="s">
        <v>37</v>
      </c>
      <c r="L11" s="50">
        <v>46073</v>
      </c>
      <c r="M11" s="11" t="s">
        <v>37</v>
      </c>
      <c r="N11" s="11">
        <v>0</v>
      </c>
      <c r="O11" s="55">
        <f t="shared" si="0"/>
        <v>0</v>
      </c>
      <c r="P11" s="11" t="s">
        <v>73</v>
      </c>
      <c r="Q11" s="75" t="s">
        <v>37</v>
      </c>
      <c r="R11" s="75" t="s">
        <v>37</v>
      </c>
      <c r="S11" s="75" t="s">
        <v>37</v>
      </c>
      <c r="T11" s="11" t="s">
        <v>37</v>
      </c>
      <c r="U11" s="43" t="s">
        <v>20</v>
      </c>
    </row>
    <row r="12" spans="1:21" s="1" customFormat="1" ht="26.4" x14ac:dyDescent="0.3">
      <c r="A12" s="5" t="s">
        <v>33</v>
      </c>
      <c r="B12" s="11" t="s">
        <v>51</v>
      </c>
      <c r="C12" s="11" t="s">
        <v>46</v>
      </c>
      <c r="D12" s="11" t="s">
        <v>49</v>
      </c>
      <c r="E12" s="11">
        <v>1</v>
      </c>
      <c r="F12" s="11" t="s">
        <v>37</v>
      </c>
      <c r="G12" s="11" t="s">
        <v>23</v>
      </c>
      <c r="H12" s="11" t="s">
        <v>24</v>
      </c>
      <c r="I12" s="11" t="s">
        <v>25</v>
      </c>
      <c r="J12" s="11" t="s">
        <v>26</v>
      </c>
      <c r="K12" s="11" t="s">
        <v>37</v>
      </c>
      <c r="L12" s="50">
        <v>46073</v>
      </c>
      <c r="M12" s="11" t="s">
        <v>37</v>
      </c>
      <c r="N12" s="11">
        <v>0</v>
      </c>
      <c r="O12" s="55">
        <f t="shared" si="0"/>
        <v>0</v>
      </c>
      <c r="P12" s="11" t="s">
        <v>73</v>
      </c>
      <c r="Q12" s="11" t="s">
        <v>37</v>
      </c>
      <c r="R12" s="11" t="s">
        <v>37</v>
      </c>
      <c r="S12" s="11" t="s">
        <v>37</v>
      </c>
      <c r="T12" s="11" t="s">
        <v>37</v>
      </c>
      <c r="U12" s="43" t="s">
        <v>33</v>
      </c>
    </row>
    <row r="13" spans="1:21" s="1" customFormat="1" ht="26.4" x14ac:dyDescent="0.3">
      <c r="A13" s="5" t="s">
        <v>35</v>
      </c>
      <c r="B13" s="11" t="s">
        <v>48</v>
      </c>
      <c r="C13" s="11" t="s">
        <v>46</v>
      </c>
      <c r="D13" s="11" t="s">
        <v>49</v>
      </c>
      <c r="E13" s="11">
        <v>1</v>
      </c>
      <c r="F13" s="11" t="s">
        <v>37</v>
      </c>
      <c r="G13" s="11" t="s">
        <v>23</v>
      </c>
      <c r="H13" s="11" t="s">
        <v>24</v>
      </c>
      <c r="I13" s="11" t="s">
        <v>25</v>
      </c>
      <c r="J13" s="11" t="s">
        <v>26</v>
      </c>
      <c r="K13" s="11" t="s">
        <v>37</v>
      </c>
      <c r="L13" s="50">
        <v>46073</v>
      </c>
      <c r="M13" s="11" t="s">
        <v>37</v>
      </c>
      <c r="N13" s="11">
        <v>0</v>
      </c>
      <c r="O13" s="55">
        <f t="shared" si="0"/>
        <v>0</v>
      </c>
      <c r="P13" s="11" t="s">
        <v>73</v>
      </c>
      <c r="Q13" s="11" t="s">
        <v>37</v>
      </c>
      <c r="R13" s="11" t="s">
        <v>37</v>
      </c>
      <c r="S13" s="11" t="s">
        <v>37</v>
      </c>
      <c r="T13" s="11" t="s">
        <v>37</v>
      </c>
      <c r="U13" s="11" t="s">
        <v>37</v>
      </c>
    </row>
    <row r="14" spans="1:21" s="1" customFormat="1" ht="39.6" x14ac:dyDescent="0.3">
      <c r="A14" s="5" t="s">
        <v>42</v>
      </c>
      <c r="B14" s="11" t="s">
        <v>1247</v>
      </c>
      <c r="C14" s="11" t="s">
        <v>52</v>
      </c>
      <c r="D14" s="11" t="s">
        <v>49</v>
      </c>
      <c r="E14" s="11">
        <v>1</v>
      </c>
      <c r="F14" s="11" t="s">
        <v>970</v>
      </c>
      <c r="G14" s="11" t="s">
        <v>23</v>
      </c>
      <c r="H14" s="11" t="s">
        <v>24</v>
      </c>
      <c r="I14" s="11" t="s">
        <v>25</v>
      </c>
      <c r="J14" s="11" t="s">
        <v>26</v>
      </c>
      <c r="K14" s="50">
        <v>39797</v>
      </c>
      <c r="L14" s="50">
        <v>46085</v>
      </c>
      <c r="M14" s="11" t="s">
        <v>1246</v>
      </c>
      <c r="N14" s="11">
        <v>3610940</v>
      </c>
      <c r="O14" s="55">
        <f t="shared" si="0"/>
        <v>3610940</v>
      </c>
      <c r="P14" s="11" t="s">
        <v>73</v>
      </c>
      <c r="Q14" s="43" t="s">
        <v>1117</v>
      </c>
      <c r="R14" s="5" t="s">
        <v>1118</v>
      </c>
      <c r="S14" s="5" t="s">
        <v>1119</v>
      </c>
      <c r="T14" s="11" t="s">
        <v>1295</v>
      </c>
      <c r="U14" s="43" t="s">
        <v>42</v>
      </c>
    </row>
    <row r="15" spans="1:21" s="1" customFormat="1" ht="26.4" x14ac:dyDescent="0.3">
      <c r="A15" s="11" t="s">
        <v>53</v>
      </c>
      <c r="B15" s="11" t="s">
        <v>45</v>
      </c>
      <c r="C15" s="11" t="s">
        <v>52</v>
      </c>
      <c r="D15" s="5" t="s">
        <v>22</v>
      </c>
      <c r="E15" s="11">
        <v>1</v>
      </c>
      <c r="F15" s="5" t="s">
        <v>970</v>
      </c>
      <c r="G15" s="11" t="s">
        <v>23</v>
      </c>
      <c r="H15" s="11" t="s">
        <v>24</v>
      </c>
      <c r="I15" s="11" t="s">
        <v>25</v>
      </c>
      <c r="J15" s="11" t="s">
        <v>26</v>
      </c>
      <c r="K15" s="50">
        <v>40186</v>
      </c>
      <c r="L15" s="50">
        <v>46069</v>
      </c>
      <c r="M15" s="11" t="s">
        <v>971</v>
      </c>
      <c r="N15" s="11">
        <v>4085229</v>
      </c>
      <c r="O15" s="55">
        <f t="shared" si="0"/>
        <v>4085229</v>
      </c>
      <c r="P15" s="5" t="s">
        <v>73</v>
      </c>
      <c r="Q15" s="43" t="s">
        <v>1117</v>
      </c>
      <c r="R15" s="5" t="s">
        <v>1118</v>
      </c>
      <c r="S15" s="5" t="s">
        <v>1119</v>
      </c>
      <c r="T15" s="11" t="s">
        <v>1145</v>
      </c>
      <c r="U15" s="11" t="s">
        <v>37</v>
      </c>
    </row>
    <row r="16" spans="1:21" s="1" customFormat="1" ht="26.4" x14ac:dyDescent="0.3">
      <c r="A16" s="11" t="s">
        <v>54</v>
      </c>
      <c r="B16" s="11" t="s">
        <v>45</v>
      </c>
      <c r="C16" s="11" t="s">
        <v>52</v>
      </c>
      <c r="D16" s="5" t="s">
        <v>22</v>
      </c>
      <c r="E16" s="11">
        <v>1</v>
      </c>
      <c r="F16" s="5" t="s">
        <v>970</v>
      </c>
      <c r="G16" s="11" t="s">
        <v>23</v>
      </c>
      <c r="H16" s="11" t="s">
        <v>24</v>
      </c>
      <c r="I16" s="11" t="s">
        <v>25</v>
      </c>
      <c r="J16" s="11" t="s">
        <v>26</v>
      </c>
      <c r="K16" s="50">
        <v>40186</v>
      </c>
      <c r="L16" s="50">
        <v>46069</v>
      </c>
      <c r="M16" s="11" t="s">
        <v>971</v>
      </c>
      <c r="N16" s="11">
        <v>4085229</v>
      </c>
      <c r="O16" s="55">
        <f t="shared" si="0"/>
        <v>4085229</v>
      </c>
      <c r="P16" s="5" t="s">
        <v>73</v>
      </c>
      <c r="Q16" s="43" t="s">
        <v>1117</v>
      </c>
      <c r="R16" s="5" t="s">
        <v>1118</v>
      </c>
      <c r="S16" s="5" t="s">
        <v>1119</v>
      </c>
      <c r="T16" s="11" t="s">
        <v>1145</v>
      </c>
      <c r="U16" s="11" t="s">
        <v>37</v>
      </c>
    </row>
    <row r="17" spans="1:21" s="1" customFormat="1" ht="26.4" x14ac:dyDescent="0.3">
      <c r="A17" s="11" t="s">
        <v>55</v>
      </c>
      <c r="B17" s="11" t="s">
        <v>45</v>
      </c>
      <c r="C17" s="11" t="s">
        <v>52</v>
      </c>
      <c r="D17" s="5" t="s">
        <v>22</v>
      </c>
      <c r="E17" s="11">
        <v>1</v>
      </c>
      <c r="F17" s="5" t="s">
        <v>970</v>
      </c>
      <c r="G17" s="11" t="s">
        <v>23</v>
      </c>
      <c r="H17" s="11" t="s">
        <v>24</v>
      </c>
      <c r="I17" s="11" t="s">
        <v>25</v>
      </c>
      <c r="J17" s="11" t="s">
        <v>26</v>
      </c>
      <c r="K17" s="50">
        <v>40186</v>
      </c>
      <c r="L17" s="50">
        <v>46069</v>
      </c>
      <c r="M17" s="11" t="s">
        <v>971</v>
      </c>
      <c r="N17" s="11">
        <v>4085229</v>
      </c>
      <c r="O17" s="55">
        <f t="shared" si="0"/>
        <v>4085229</v>
      </c>
      <c r="P17" s="5" t="s">
        <v>73</v>
      </c>
      <c r="Q17" s="43" t="s">
        <v>1117</v>
      </c>
      <c r="R17" s="5" t="s">
        <v>1118</v>
      </c>
      <c r="S17" s="5" t="s">
        <v>1119</v>
      </c>
      <c r="T17" s="11" t="s">
        <v>1145</v>
      </c>
      <c r="U17" s="73" t="s">
        <v>55</v>
      </c>
    </row>
    <row r="18" spans="1:21" s="1" customFormat="1" ht="26.4" x14ac:dyDescent="0.3">
      <c r="A18" s="11" t="s">
        <v>59</v>
      </c>
      <c r="B18" s="11" t="s">
        <v>60</v>
      </c>
      <c r="C18" s="11" t="s">
        <v>57</v>
      </c>
      <c r="D18" s="5" t="s">
        <v>22</v>
      </c>
      <c r="E18" s="11">
        <v>1</v>
      </c>
      <c r="F18" s="11" t="s">
        <v>28</v>
      </c>
      <c r="G18" s="11" t="s">
        <v>23</v>
      </c>
      <c r="H18" s="11" t="s">
        <v>24</v>
      </c>
      <c r="I18" s="11" t="s">
        <v>25</v>
      </c>
      <c r="J18" s="11" t="s">
        <v>26</v>
      </c>
      <c r="K18" s="50">
        <v>45016</v>
      </c>
      <c r="L18" s="50">
        <v>46065</v>
      </c>
      <c r="M18" s="11" t="s">
        <v>29</v>
      </c>
      <c r="N18" s="11">
        <v>1759074</v>
      </c>
      <c r="O18" s="55">
        <f t="shared" si="0"/>
        <v>1759074</v>
      </c>
      <c r="P18" s="5" t="s">
        <v>73</v>
      </c>
      <c r="Q18" s="47" t="s">
        <v>30</v>
      </c>
      <c r="R18" s="31">
        <v>9594357635</v>
      </c>
      <c r="S18" s="31" t="s">
        <v>31</v>
      </c>
      <c r="T18" s="11" t="s">
        <v>32</v>
      </c>
      <c r="U18" s="73" t="s">
        <v>59</v>
      </c>
    </row>
    <row r="19" spans="1:21" s="1" customFormat="1" ht="26.4" x14ac:dyDescent="0.3">
      <c r="A19" s="11" t="s">
        <v>61</v>
      </c>
      <c r="B19" s="11" t="s">
        <v>62</v>
      </c>
      <c r="C19" s="11" t="s">
        <v>57</v>
      </c>
      <c r="D19" s="5" t="s">
        <v>22</v>
      </c>
      <c r="E19" s="11">
        <v>1</v>
      </c>
      <c r="F19" s="11" t="s">
        <v>28</v>
      </c>
      <c r="G19" s="11" t="s">
        <v>23</v>
      </c>
      <c r="H19" s="11" t="s">
        <v>24</v>
      </c>
      <c r="I19" s="11" t="s">
        <v>25</v>
      </c>
      <c r="J19" s="11" t="s">
        <v>26</v>
      </c>
      <c r="K19" s="50">
        <v>45016</v>
      </c>
      <c r="L19" s="50">
        <v>46065</v>
      </c>
      <c r="M19" s="11" t="s">
        <v>29</v>
      </c>
      <c r="N19" s="11">
        <v>1759074</v>
      </c>
      <c r="O19" s="55">
        <f t="shared" si="0"/>
        <v>1759074</v>
      </c>
      <c r="P19" s="5" t="s">
        <v>73</v>
      </c>
      <c r="Q19" s="47" t="s">
        <v>30</v>
      </c>
      <c r="R19" s="31">
        <v>9594357635</v>
      </c>
      <c r="S19" s="31" t="s">
        <v>31</v>
      </c>
      <c r="T19" s="11" t="s">
        <v>32</v>
      </c>
      <c r="U19" s="73" t="s">
        <v>61</v>
      </c>
    </row>
    <row r="20" spans="1:21" s="1" customFormat="1" ht="26.4" x14ac:dyDescent="0.3">
      <c r="A20" s="11" t="s">
        <v>63</v>
      </c>
      <c r="B20" s="11" t="s">
        <v>64</v>
      </c>
      <c r="C20" s="11" t="s">
        <v>57</v>
      </c>
      <c r="D20" s="5" t="s">
        <v>22</v>
      </c>
      <c r="E20" s="11">
        <v>1</v>
      </c>
      <c r="F20" s="11" t="s">
        <v>28</v>
      </c>
      <c r="G20" s="11" t="s">
        <v>23</v>
      </c>
      <c r="H20" s="11" t="s">
        <v>24</v>
      </c>
      <c r="I20" s="11" t="s">
        <v>25</v>
      </c>
      <c r="J20" s="11" t="s">
        <v>26</v>
      </c>
      <c r="K20" s="50">
        <v>45441</v>
      </c>
      <c r="L20" s="50">
        <v>46052</v>
      </c>
      <c r="M20" s="11" t="s">
        <v>40</v>
      </c>
      <c r="N20" s="11">
        <v>1934671</v>
      </c>
      <c r="O20" s="55">
        <f t="shared" si="0"/>
        <v>1934671</v>
      </c>
      <c r="P20" s="5" t="s">
        <v>73</v>
      </c>
      <c r="Q20" s="47" t="s">
        <v>30</v>
      </c>
      <c r="R20" s="31">
        <v>9594357635</v>
      </c>
      <c r="S20" s="31" t="s">
        <v>31</v>
      </c>
      <c r="T20" s="11" t="s">
        <v>41</v>
      </c>
      <c r="U20" s="73" t="s">
        <v>63</v>
      </c>
    </row>
    <row r="21" spans="1:21" s="1" customFormat="1" ht="26.4" x14ac:dyDescent="0.3">
      <c r="A21" s="11" t="s">
        <v>65</v>
      </c>
      <c r="B21" s="11" t="s">
        <v>66</v>
      </c>
      <c r="C21" s="11" t="s">
        <v>57</v>
      </c>
      <c r="D21" s="5" t="s">
        <v>22</v>
      </c>
      <c r="E21" s="11">
        <v>1</v>
      </c>
      <c r="F21" s="11" t="s">
        <v>28</v>
      </c>
      <c r="G21" s="11" t="s">
        <v>23</v>
      </c>
      <c r="H21" s="11" t="s">
        <v>24</v>
      </c>
      <c r="I21" s="11" t="s">
        <v>25</v>
      </c>
      <c r="J21" s="11" t="s">
        <v>26</v>
      </c>
      <c r="K21" s="50">
        <v>45441</v>
      </c>
      <c r="L21" s="50">
        <v>46052</v>
      </c>
      <c r="M21" s="11" t="s">
        <v>40</v>
      </c>
      <c r="N21" s="11">
        <v>1934671</v>
      </c>
      <c r="O21" s="55">
        <f t="shared" si="0"/>
        <v>1934671</v>
      </c>
      <c r="P21" s="5" t="s">
        <v>73</v>
      </c>
      <c r="Q21" s="47" t="s">
        <v>30</v>
      </c>
      <c r="R21" s="31">
        <v>9594357635</v>
      </c>
      <c r="S21" s="31" t="s">
        <v>31</v>
      </c>
      <c r="T21" s="11" t="s">
        <v>41</v>
      </c>
      <c r="U21" s="73" t="s">
        <v>65</v>
      </c>
    </row>
    <row r="22" spans="1:21" s="1" customFormat="1" ht="26.4" x14ac:dyDescent="0.3">
      <c r="A22" s="11" t="s">
        <v>67</v>
      </c>
      <c r="B22" s="11" t="s">
        <v>62</v>
      </c>
      <c r="C22" s="11" t="s">
        <v>21</v>
      </c>
      <c r="D22" s="5" t="s">
        <v>22</v>
      </c>
      <c r="E22" s="11">
        <v>1</v>
      </c>
      <c r="F22" s="11" t="s">
        <v>37</v>
      </c>
      <c r="G22" s="11" t="s">
        <v>23</v>
      </c>
      <c r="H22" s="11" t="s">
        <v>24</v>
      </c>
      <c r="I22" s="11" t="s">
        <v>25</v>
      </c>
      <c r="J22" s="11" t="s">
        <v>26</v>
      </c>
      <c r="K22" s="50">
        <v>25569</v>
      </c>
      <c r="L22" s="50">
        <v>46065</v>
      </c>
      <c r="M22" s="11" t="s">
        <v>37</v>
      </c>
      <c r="N22" s="11">
        <v>0</v>
      </c>
      <c r="O22" s="55">
        <f t="shared" si="0"/>
        <v>0</v>
      </c>
      <c r="P22" s="5" t="s">
        <v>73</v>
      </c>
      <c r="Q22" s="11" t="s">
        <v>37</v>
      </c>
      <c r="R22" s="11" t="s">
        <v>37</v>
      </c>
      <c r="S22" s="11" t="s">
        <v>37</v>
      </c>
      <c r="T22" s="11" t="s">
        <v>37</v>
      </c>
      <c r="U22" s="73" t="s">
        <v>67</v>
      </c>
    </row>
    <row r="23" spans="1:21" s="1" customFormat="1" ht="26.4" x14ac:dyDescent="0.3">
      <c r="A23" s="11" t="s">
        <v>68</v>
      </c>
      <c r="B23" s="11" t="s">
        <v>62</v>
      </c>
      <c r="C23" s="11" t="s">
        <v>21</v>
      </c>
      <c r="D23" s="5" t="s">
        <v>22</v>
      </c>
      <c r="E23" s="11">
        <v>1</v>
      </c>
      <c r="F23" s="11" t="s">
        <v>37</v>
      </c>
      <c r="G23" s="11" t="s">
        <v>23</v>
      </c>
      <c r="H23" s="11" t="s">
        <v>24</v>
      </c>
      <c r="I23" s="11" t="s">
        <v>25</v>
      </c>
      <c r="J23" s="11" t="s">
        <v>26</v>
      </c>
      <c r="K23" s="50">
        <v>25569</v>
      </c>
      <c r="L23" s="50">
        <v>46065</v>
      </c>
      <c r="M23" s="11" t="s">
        <v>37</v>
      </c>
      <c r="N23" s="11">
        <v>0</v>
      </c>
      <c r="O23" s="55">
        <f t="shared" si="0"/>
        <v>0</v>
      </c>
      <c r="P23" s="5" t="s">
        <v>73</v>
      </c>
      <c r="Q23" s="11" t="s">
        <v>37</v>
      </c>
      <c r="R23" s="11" t="s">
        <v>37</v>
      </c>
      <c r="S23" s="11" t="s">
        <v>37</v>
      </c>
      <c r="T23" s="11" t="s">
        <v>37</v>
      </c>
      <c r="U23" s="11" t="s">
        <v>37</v>
      </c>
    </row>
    <row r="24" spans="1:21" s="1" customFormat="1" ht="26.4" x14ac:dyDescent="0.3">
      <c r="A24" s="5" t="s">
        <v>56</v>
      </c>
      <c r="B24" s="11" t="s">
        <v>62</v>
      </c>
      <c r="C24" s="11" t="s">
        <v>21</v>
      </c>
      <c r="D24" s="11" t="s">
        <v>49</v>
      </c>
      <c r="E24" s="11">
        <v>1</v>
      </c>
      <c r="F24" s="11" t="s">
        <v>37</v>
      </c>
      <c r="G24" s="11" t="s">
        <v>23</v>
      </c>
      <c r="H24" s="11" t="s">
        <v>24</v>
      </c>
      <c r="I24" s="76" t="s">
        <v>69</v>
      </c>
      <c r="J24" s="11" t="s">
        <v>26</v>
      </c>
      <c r="K24" s="11" t="s">
        <v>37</v>
      </c>
      <c r="L24" s="50">
        <v>46073</v>
      </c>
      <c r="M24" s="11" t="s">
        <v>37</v>
      </c>
      <c r="N24" s="11">
        <v>0</v>
      </c>
      <c r="O24" s="55">
        <f t="shared" si="0"/>
        <v>0</v>
      </c>
      <c r="P24" s="5" t="s">
        <v>73</v>
      </c>
      <c r="Q24" s="75" t="s">
        <v>37</v>
      </c>
      <c r="R24" s="75" t="s">
        <v>37</v>
      </c>
      <c r="S24" s="75" t="s">
        <v>37</v>
      </c>
      <c r="T24" s="11" t="s">
        <v>37</v>
      </c>
      <c r="U24" s="43" t="s">
        <v>56</v>
      </c>
    </row>
    <row r="25" spans="1:21" s="1" customFormat="1" ht="26.4" x14ac:dyDescent="0.3">
      <c r="A25" s="5" t="s">
        <v>59</v>
      </c>
      <c r="B25" s="11" t="s">
        <v>62</v>
      </c>
      <c r="C25" s="11" t="s">
        <v>21</v>
      </c>
      <c r="D25" s="11" t="s">
        <v>49</v>
      </c>
      <c r="E25" s="11">
        <v>1</v>
      </c>
      <c r="F25" s="11" t="s">
        <v>37</v>
      </c>
      <c r="G25" s="11" t="s">
        <v>23</v>
      </c>
      <c r="H25" s="11" t="s">
        <v>24</v>
      </c>
      <c r="I25" s="11" t="s">
        <v>25</v>
      </c>
      <c r="J25" s="11" t="s">
        <v>26</v>
      </c>
      <c r="K25" s="11" t="s">
        <v>37</v>
      </c>
      <c r="L25" s="50">
        <v>46073</v>
      </c>
      <c r="M25" s="11" t="s">
        <v>37</v>
      </c>
      <c r="N25" s="11">
        <v>0</v>
      </c>
      <c r="O25" s="55">
        <f t="shared" si="0"/>
        <v>0</v>
      </c>
      <c r="P25" s="5" t="s">
        <v>73</v>
      </c>
      <c r="Q25" s="11" t="s">
        <v>37</v>
      </c>
      <c r="R25" s="11" t="s">
        <v>37</v>
      </c>
      <c r="S25" s="11" t="s">
        <v>37</v>
      </c>
      <c r="T25" s="11" t="s">
        <v>37</v>
      </c>
      <c r="U25" s="77" t="s">
        <v>59</v>
      </c>
    </row>
    <row r="26" spans="1:21" s="1" customFormat="1" ht="26.4" x14ac:dyDescent="0.3">
      <c r="A26" s="5" t="s">
        <v>61</v>
      </c>
      <c r="B26" s="11" t="s">
        <v>62</v>
      </c>
      <c r="C26" s="11" t="s">
        <v>21</v>
      </c>
      <c r="D26" s="11" t="s">
        <v>49</v>
      </c>
      <c r="E26" s="11">
        <v>1</v>
      </c>
      <c r="F26" s="11" t="s">
        <v>37</v>
      </c>
      <c r="G26" s="11" t="s">
        <v>23</v>
      </c>
      <c r="H26" s="11" t="s">
        <v>24</v>
      </c>
      <c r="I26" s="11" t="s">
        <v>25</v>
      </c>
      <c r="J26" s="11" t="s">
        <v>26</v>
      </c>
      <c r="K26" s="11" t="s">
        <v>37</v>
      </c>
      <c r="L26" s="50">
        <v>46073</v>
      </c>
      <c r="M26" s="11" t="s">
        <v>37</v>
      </c>
      <c r="N26" s="11">
        <v>0</v>
      </c>
      <c r="O26" s="55">
        <f t="shared" si="0"/>
        <v>0</v>
      </c>
      <c r="P26" s="5" t="s">
        <v>50</v>
      </c>
      <c r="Q26" s="11" t="s">
        <v>37</v>
      </c>
      <c r="R26" s="11" t="s">
        <v>37</v>
      </c>
      <c r="S26" s="11" t="s">
        <v>37</v>
      </c>
      <c r="T26" s="11" t="s">
        <v>37</v>
      </c>
      <c r="U26" s="77" t="s">
        <v>61</v>
      </c>
    </row>
    <row r="27" spans="1:21" s="1" customFormat="1" ht="26.4" x14ac:dyDescent="0.3">
      <c r="A27" s="5" t="s">
        <v>65</v>
      </c>
      <c r="B27" s="11" t="s">
        <v>1248</v>
      </c>
      <c r="C27" s="11" t="s">
        <v>70</v>
      </c>
      <c r="D27" s="11" t="s">
        <v>49</v>
      </c>
      <c r="E27" s="11">
        <v>1</v>
      </c>
      <c r="F27" s="11" t="s">
        <v>970</v>
      </c>
      <c r="G27" s="11" t="s">
        <v>23</v>
      </c>
      <c r="H27" s="11" t="s">
        <v>24</v>
      </c>
      <c r="I27" s="11" t="s">
        <v>25</v>
      </c>
      <c r="J27" s="11" t="s">
        <v>26</v>
      </c>
      <c r="K27" s="50">
        <v>39797</v>
      </c>
      <c r="L27" s="50">
        <v>46085</v>
      </c>
      <c r="M27" s="11" t="s">
        <v>1246</v>
      </c>
      <c r="N27" s="11">
        <v>48000</v>
      </c>
      <c r="O27" s="55">
        <f t="shared" si="0"/>
        <v>48000</v>
      </c>
      <c r="P27" s="11" t="s">
        <v>73</v>
      </c>
      <c r="Q27" s="43" t="s">
        <v>1117</v>
      </c>
      <c r="R27" s="5" t="s">
        <v>1118</v>
      </c>
      <c r="S27" s="5" t="s">
        <v>1119</v>
      </c>
      <c r="T27" s="11" t="s">
        <v>1295</v>
      </c>
      <c r="U27" s="77" t="s">
        <v>65</v>
      </c>
    </row>
    <row r="28" spans="1:21" s="1" customFormat="1" ht="26.4" x14ac:dyDescent="0.3">
      <c r="A28" s="5" t="s">
        <v>67</v>
      </c>
      <c r="B28" s="8" t="s">
        <v>1296</v>
      </c>
      <c r="C28" s="8" t="s">
        <v>70</v>
      </c>
      <c r="D28" s="8" t="s">
        <v>49</v>
      </c>
      <c r="E28" s="8">
        <v>1</v>
      </c>
      <c r="F28" s="5" t="s">
        <v>71</v>
      </c>
      <c r="G28" s="8" t="s">
        <v>23</v>
      </c>
      <c r="H28" s="12" t="s">
        <v>24</v>
      </c>
      <c r="I28" s="8" t="s">
        <v>71</v>
      </c>
      <c r="J28" s="8" t="s">
        <v>72</v>
      </c>
      <c r="K28" s="8" t="s">
        <v>71</v>
      </c>
      <c r="L28" s="8" t="s">
        <v>71</v>
      </c>
      <c r="M28" s="8" t="s">
        <v>71</v>
      </c>
      <c r="N28" s="8" t="s">
        <v>71</v>
      </c>
      <c r="O28" s="8" t="s">
        <v>71</v>
      </c>
      <c r="P28" s="8" t="s">
        <v>1170</v>
      </c>
      <c r="Q28" s="8" t="s">
        <v>71</v>
      </c>
      <c r="R28" s="8" t="s">
        <v>71</v>
      </c>
      <c r="S28" s="8" t="s">
        <v>71</v>
      </c>
      <c r="T28" s="8" t="s">
        <v>71</v>
      </c>
      <c r="U28" s="12" t="s">
        <v>37</v>
      </c>
    </row>
    <row r="29" spans="1:21" s="1" customFormat="1" ht="26.4" x14ac:dyDescent="0.3">
      <c r="A29" s="11" t="s">
        <v>74</v>
      </c>
      <c r="B29" s="11" t="s">
        <v>75</v>
      </c>
      <c r="C29" s="11" t="s">
        <v>70</v>
      </c>
      <c r="D29" s="5" t="s">
        <v>22</v>
      </c>
      <c r="E29" s="11">
        <v>1</v>
      </c>
      <c r="F29" s="5" t="s">
        <v>970</v>
      </c>
      <c r="G29" s="11" t="s">
        <v>23</v>
      </c>
      <c r="H29" s="11" t="s">
        <v>24</v>
      </c>
      <c r="I29" s="11" t="s">
        <v>25</v>
      </c>
      <c r="J29" s="11" t="s">
        <v>26</v>
      </c>
      <c r="K29" s="50">
        <v>40261</v>
      </c>
      <c r="L29" s="50">
        <v>46069</v>
      </c>
      <c r="M29" s="11" t="s">
        <v>971</v>
      </c>
      <c r="N29" s="11">
        <v>1196371</v>
      </c>
      <c r="O29" s="55">
        <f t="shared" si="0"/>
        <v>1196371</v>
      </c>
      <c r="P29" s="5" t="s">
        <v>73</v>
      </c>
      <c r="Q29" s="43" t="s">
        <v>1117</v>
      </c>
      <c r="R29" s="5" t="s">
        <v>1118</v>
      </c>
      <c r="S29" s="5" t="s">
        <v>1119</v>
      </c>
      <c r="T29" s="11" t="s">
        <v>1145</v>
      </c>
      <c r="U29" s="11" t="s">
        <v>37</v>
      </c>
    </row>
    <row r="30" spans="1:21" s="1" customFormat="1" ht="26.4" x14ac:dyDescent="0.3">
      <c r="A30" s="11" t="s">
        <v>76</v>
      </c>
      <c r="B30" s="11" t="s">
        <v>75</v>
      </c>
      <c r="C30" s="11" t="s">
        <v>37</v>
      </c>
      <c r="D30" s="5" t="s">
        <v>22</v>
      </c>
      <c r="E30" s="11">
        <v>1</v>
      </c>
      <c r="F30" s="5" t="s">
        <v>970</v>
      </c>
      <c r="G30" s="11" t="s">
        <v>23</v>
      </c>
      <c r="H30" s="11" t="s">
        <v>24</v>
      </c>
      <c r="I30" s="11" t="s">
        <v>25</v>
      </c>
      <c r="J30" s="11" t="s">
        <v>26</v>
      </c>
      <c r="K30" s="50">
        <v>40261</v>
      </c>
      <c r="L30" s="50">
        <v>46069</v>
      </c>
      <c r="M30" s="11" t="s">
        <v>971</v>
      </c>
      <c r="N30" s="11">
        <v>1196371</v>
      </c>
      <c r="O30" s="55">
        <f t="shared" si="0"/>
        <v>1196371</v>
      </c>
      <c r="P30" s="5" t="s">
        <v>73</v>
      </c>
      <c r="Q30" s="43" t="s">
        <v>1117</v>
      </c>
      <c r="R30" s="5" t="s">
        <v>1118</v>
      </c>
      <c r="S30" s="5" t="s">
        <v>1119</v>
      </c>
      <c r="T30" s="11" t="s">
        <v>1145</v>
      </c>
      <c r="U30" s="11" t="s">
        <v>37</v>
      </c>
    </row>
    <row r="31" spans="1:21" s="1" customFormat="1" ht="26.4" x14ac:dyDescent="0.3">
      <c r="A31" s="11" t="s">
        <v>77</v>
      </c>
      <c r="B31" s="11" t="s">
        <v>75</v>
      </c>
      <c r="C31" s="11" t="s">
        <v>37</v>
      </c>
      <c r="D31" s="5" t="s">
        <v>22</v>
      </c>
      <c r="E31" s="11">
        <v>1</v>
      </c>
      <c r="F31" s="5" t="s">
        <v>970</v>
      </c>
      <c r="G31" s="11" t="s">
        <v>23</v>
      </c>
      <c r="H31" s="11" t="s">
        <v>24</v>
      </c>
      <c r="I31" s="11" t="s">
        <v>25</v>
      </c>
      <c r="J31" s="11" t="s">
        <v>26</v>
      </c>
      <c r="K31" s="50">
        <v>40261</v>
      </c>
      <c r="L31" s="50">
        <v>46069</v>
      </c>
      <c r="M31" s="11" t="s">
        <v>971</v>
      </c>
      <c r="N31" s="11">
        <v>1196371</v>
      </c>
      <c r="O31" s="55">
        <f t="shared" si="0"/>
        <v>1196371</v>
      </c>
      <c r="P31" s="5" t="s">
        <v>73</v>
      </c>
      <c r="Q31" s="43" t="s">
        <v>1117</v>
      </c>
      <c r="R31" s="5" t="s">
        <v>1118</v>
      </c>
      <c r="S31" s="5" t="s">
        <v>1119</v>
      </c>
      <c r="T31" s="11" t="s">
        <v>1145</v>
      </c>
      <c r="U31" s="11" t="s">
        <v>37</v>
      </c>
    </row>
    <row r="32" spans="1:21" s="1" customFormat="1" ht="26.4" x14ac:dyDescent="0.3">
      <c r="A32" s="11" t="s">
        <v>1159</v>
      </c>
      <c r="B32" s="11" t="s">
        <v>78</v>
      </c>
      <c r="C32" s="11" t="s">
        <v>37</v>
      </c>
      <c r="D32" s="5" t="s">
        <v>22</v>
      </c>
      <c r="E32" s="11">
        <v>1</v>
      </c>
      <c r="F32" s="11" t="s">
        <v>1105</v>
      </c>
      <c r="G32" s="11" t="s">
        <v>23</v>
      </c>
      <c r="H32" s="11" t="s">
        <v>24</v>
      </c>
      <c r="I32" s="11" t="s">
        <v>25</v>
      </c>
      <c r="J32" s="11" t="s">
        <v>26</v>
      </c>
      <c r="K32" s="50">
        <v>43495</v>
      </c>
      <c r="L32" s="50">
        <v>46071</v>
      </c>
      <c r="M32" s="5" t="s">
        <v>1125</v>
      </c>
      <c r="N32" s="11">
        <v>46830</v>
      </c>
      <c r="O32" s="55">
        <f t="shared" si="0"/>
        <v>46830</v>
      </c>
      <c r="P32" s="5" t="s">
        <v>73</v>
      </c>
      <c r="Q32" s="43" t="s">
        <v>393</v>
      </c>
      <c r="R32" s="5">
        <v>25447696</v>
      </c>
      <c r="S32" s="5" t="s">
        <v>394</v>
      </c>
      <c r="T32" s="11" t="s">
        <v>1144</v>
      </c>
      <c r="U32" s="73" t="s">
        <v>1161</v>
      </c>
    </row>
    <row r="33" spans="1:21" s="1" customFormat="1" ht="26.4" x14ac:dyDescent="0.3">
      <c r="A33" s="11" t="s">
        <v>1162</v>
      </c>
      <c r="B33" s="11" t="s">
        <v>78</v>
      </c>
      <c r="C33" s="11" t="s">
        <v>37</v>
      </c>
      <c r="D33" s="5" t="s">
        <v>22</v>
      </c>
      <c r="E33" s="11">
        <v>1</v>
      </c>
      <c r="F33" s="11" t="s">
        <v>1105</v>
      </c>
      <c r="G33" s="11" t="s">
        <v>23</v>
      </c>
      <c r="H33" s="11" t="s">
        <v>24</v>
      </c>
      <c r="I33" s="11" t="s">
        <v>25</v>
      </c>
      <c r="J33" s="11" t="s">
        <v>26</v>
      </c>
      <c r="K33" s="50">
        <v>43495</v>
      </c>
      <c r="L33" s="50">
        <v>46071</v>
      </c>
      <c r="M33" s="5" t="s">
        <v>1125</v>
      </c>
      <c r="N33" s="11">
        <v>46830</v>
      </c>
      <c r="O33" s="55">
        <f t="shared" si="0"/>
        <v>46830</v>
      </c>
      <c r="P33" s="5" t="s">
        <v>73</v>
      </c>
      <c r="Q33" s="43" t="s">
        <v>393</v>
      </c>
      <c r="R33" s="5">
        <v>25447696</v>
      </c>
      <c r="S33" s="5" t="s">
        <v>394</v>
      </c>
      <c r="T33" s="11" t="s">
        <v>1144</v>
      </c>
      <c r="U33" s="73" t="s">
        <v>1161</v>
      </c>
    </row>
    <row r="34" spans="1:21" s="1" customFormat="1" ht="26.4" x14ac:dyDescent="0.3">
      <c r="A34" s="11" t="s">
        <v>1160</v>
      </c>
      <c r="B34" s="11" t="s">
        <v>78</v>
      </c>
      <c r="C34" s="11" t="s">
        <v>37</v>
      </c>
      <c r="D34" s="5" t="s">
        <v>22</v>
      </c>
      <c r="E34" s="11">
        <v>1</v>
      </c>
      <c r="F34" s="11" t="s">
        <v>28</v>
      </c>
      <c r="G34" s="11" t="s">
        <v>23</v>
      </c>
      <c r="H34" s="11" t="s">
        <v>24</v>
      </c>
      <c r="I34" s="11" t="s">
        <v>25</v>
      </c>
      <c r="J34" s="11" t="s">
        <v>26</v>
      </c>
      <c r="K34" s="50">
        <v>45016</v>
      </c>
      <c r="L34" s="50">
        <v>46065</v>
      </c>
      <c r="M34" s="11" t="s">
        <v>29</v>
      </c>
      <c r="N34" s="11">
        <v>59179</v>
      </c>
      <c r="O34" s="55">
        <f t="shared" si="0"/>
        <v>59179</v>
      </c>
      <c r="P34" s="5" t="s">
        <v>73</v>
      </c>
      <c r="Q34" s="47" t="s">
        <v>30</v>
      </c>
      <c r="R34" s="31">
        <v>9594357635</v>
      </c>
      <c r="S34" s="31" t="s">
        <v>31</v>
      </c>
      <c r="T34" s="11" t="s">
        <v>32</v>
      </c>
      <c r="U34" s="73" t="s">
        <v>1161</v>
      </c>
    </row>
    <row r="35" spans="1:21" s="1" customFormat="1" ht="26.4" x14ac:dyDescent="0.3">
      <c r="A35" s="11" t="s">
        <v>1158</v>
      </c>
      <c r="B35" s="11" t="s">
        <v>78</v>
      </c>
      <c r="C35" s="11" t="s">
        <v>37</v>
      </c>
      <c r="D35" s="5" t="s">
        <v>22</v>
      </c>
      <c r="E35" s="11">
        <v>1</v>
      </c>
      <c r="F35" s="11" t="s">
        <v>28</v>
      </c>
      <c r="G35" s="11" t="s">
        <v>23</v>
      </c>
      <c r="H35" s="11" t="s">
        <v>24</v>
      </c>
      <c r="I35" s="11" t="s">
        <v>25</v>
      </c>
      <c r="J35" s="11" t="s">
        <v>26</v>
      </c>
      <c r="K35" s="50">
        <v>45016</v>
      </c>
      <c r="L35" s="50">
        <v>46065</v>
      </c>
      <c r="M35" s="11" t="s">
        <v>29</v>
      </c>
      <c r="N35" s="11">
        <v>59179</v>
      </c>
      <c r="O35" s="55">
        <f t="shared" si="0"/>
        <v>59179</v>
      </c>
      <c r="P35" s="5" t="s">
        <v>73</v>
      </c>
      <c r="Q35" s="47" t="s">
        <v>30</v>
      </c>
      <c r="R35" s="31">
        <v>9594357635</v>
      </c>
      <c r="S35" s="31" t="s">
        <v>31</v>
      </c>
      <c r="T35" s="11" t="s">
        <v>32</v>
      </c>
      <c r="U35" s="73" t="s">
        <v>1161</v>
      </c>
    </row>
    <row r="36" spans="1:21" s="1" customFormat="1" ht="26.4" x14ac:dyDescent="0.3">
      <c r="A36" s="11" t="s">
        <v>1163</v>
      </c>
      <c r="B36" s="11" t="s">
        <v>78</v>
      </c>
      <c r="C36" s="11" t="s">
        <v>79</v>
      </c>
      <c r="D36" s="5" t="s">
        <v>22</v>
      </c>
      <c r="E36" s="11">
        <v>1</v>
      </c>
      <c r="F36" s="11" t="s">
        <v>28</v>
      </c>
      <c r="G36" s="11" t="s">
        <v>23</v>
      </c>
      <c r="H36" s="11" t="s">
        <v>24</v>
      </c>
      <c r="I36" s="11" t="s">
        <v>25</v>
      </c>
      <c r="J36" s="11" t="s">
        <v>26</v>
      </c>
      <c r="K36" s="50">
        <v>45374</v>
      </c>
      <c r="L36" s="50">
        <v>46065</v>
      </c>
      <c r="M36" s="11" t="s">
        <v>40</v>
      </c>
      <c r="N36" s="11">
        <v>73838</v>
      </c>
      <c r="O36" s="55">
        <f t="shared" si="0"/>
        <v>73838</v>
      </c>
      <c r="P36" s="5" t="s">
        <v>73</v>
      </c>
      <c r="Q36" s="47" t="s">
        <v>30</v>
      </c>
      <c r="R36" s="31">
        <v>9594357635</v>
      </c>
      <c r="S36" s="31" t="s">
        <v>31</v>
      </c>
      <c r="T36" s="11" t="s">
        <v>41</v>
      </c>
      <c r="U36" s="73" t="s">
        <v>1161</v>
      </c>
    </row>
    <row r="37" spans="1:21" s="1" customFormat="1" ht="26.4" x14ac:dyDescent="0.3">
      <c r="A37" s="11" t="s">
        <v>1164</v>
      </c>
      <c r="B37" s="11" t="s">
        <v>78</v>
      </c>
      <c r="C37" s="11" t="s">
        <v>37</v>
      </c>
      <c r="D37" s="5" t="s">
        <v>22</v>
      </c>
      <c r="E37" s="11">
        <v>1</v>
      </c>
      <c r="F37" s="11" t="s">
        <v>28</v>
      </c>
      <c r="G37" s="11" t="s">
        <v>23</v>
      </c>
      <c r="H37" s="11" t="s">
        <v>24</v>
      </c>
      <c r="I37" s="11" t="s">
        <v>25</v>
      </c>
      <c r="J37" s="11" t="s">
        <v>26</v>
      </c>
      <c r="K37" s="50">
        <v>45374</v>
      </c>
      <c r="L37" s="50">
        <v>46065</v>
      </c>
      <c r="M37" s="11" t="s">
        <v>40</v>
      </c>
      <c r="N37" s="11">
        <v>73838</v>
      </c>
      <c r="O37" s="55">
        <f t="shared" si="0"/>
        <v>73838</v>
      </c>
      <c r="P37" s="5" t="s">
        <v>73</v>
      </c>
      <c r="Q37" s="47" t="s">
        <v>30</v>
      </c>
      <c r="R37" s="31">
        <v>9594357635</v>
      </c>
      <c r="S37" s="31" t="s">
        <v>31</v>
      </c>
      <c r="T37" s="11" t="s">
        <v>41</v>
      </c>
      <c r="U37" s="73" t="s">
        <v>1161</v>
      </c>
    </row>
    <row r="38" spans="1:21" s="1" customFormat="1" ht="26.4" x14ac:dyDescent="0.3">
      <c r="A38" s="11" t="s">
        <v>1165</v>
      </c>
      <c r="B38" s="11" t="s">
        <v>80</v>
      </c>
      <c r="C38" s="11" t="s">
        <v>81</v>
      </c>
      <c r="D38" s="5" t="s">
        <v>22</v>
      </c>
      <c r="E38" s="11">
        <v>1</v>
      </c>
      <c r="F38" s="11" t="s">
        <v>28</v>
      </c>
      <c r="G38" s="11" t="s">
        <v>23</v>
      </c>
      <c r="H38" s="11" t="s">
        <v>24</v>
      </c>
      <c r="I38" s="11" t="s">
        <v>25</v>
      </c>
      <c r="J38" s="11" t="s">
        <v>26</v>
      </c>
      <c r="K38" s="50">
        <v>45374</v>
      </c>
      <c r="L38" s="50">
        <v>46065</v>
      </c>
      <c r="M38" s="11" t="s">
        <v>40</v>
      </c>
      <c r="N38" s="11">
        <v>73838</v>
      </c>
      <c r="O38" s="55">
        <f t="shared" si="0"/>
        <v>73838</v>
      </c>
      <c r="P38" s="5" t="s">
        <v>73</v>
      </c>
      <c r="Q38" s="43" t="s">
        <v>30</v>
      </c>
      <c r="R38" s="5">
        <v>9594357635</v>
      </c>
      <c r="S38" s="5" t="s">
        <v>1116</v>
      </c>
      <c r="T38" s="11" t="s">
        <v>41</v>
      </c>
      <c r="U38" s="73" t="s">
        <v>1161</v>
      </c>
    </row>
    <row r="39" spans="1:21" s="1" customFormat="1" ht="26.4" x14ac:dyDescent="0.3">
      <c r="A39" s="11" t="s">
        <v>1166</v>
      </c>
      <c r="B39" s="11" t="s">
        <v>82</v>
      </c>
      <c r="C39" s="11" t="s">
        <v>81</v>
      </c>
      <c r="D39" s="5" t="s">
        <v>22</v>
      </c>
      <c r="E39" s="11">
        <v>1</v>
      </c>
      <c r="F39" s="11" t="s">
        <v>28</v>
      </c>
      <c r="G39" s="11" t="s">
        <v>23</v>
      </c>
      <c r="H39" s="11" t="s">
        <v>24</v>
      </c>
      <c r="I39" s="11" t="s">
        <v>25</v>
      </c>
      <c r="J39" s="11" t="s">
        <v>26</v>
      </c>
      <c r="K39" s="50">
        <v>45374</v>
      </c>
      <c r="L39" s="50">
        <v>46065</v>
      </c>
      <c r="M39" s="11" t="s">
        <v>40</v>
      </c>
      <c r="N39" s="11">
        <v>73838</v>
      </c>
      <c r="O39" s="55">
        <f t="shared" si="0"/>
        <v>73838</v>
      </c>
      <c r="P39" s="5" t="s">
        <v>73</v>
      </c>
      <c r="Q39" s="43" t="s">
        <v>30</v>
      </c>
      <c r="R39" s="5">
        <v>9594357635</v>
      </c>
      <c r="S39" s="5" t="s">
        <v>1116</v>
      </c>
      <c r="T39" s="11" t="s">
        <v>41</v>
      </c>
      <c r="U39" s="73" t="s">
        <v>1161</v>
      </c>
    </row>
    <row r="40" spans="1:21" s="1" customFormat="1" ht="26.4" x14ac:dyDescent="0.3">
      <c r="A40" s="5" t="s">
        <v>1159</v>
      </c>
      <c r="B40" s="11" t="s">
        <v>78</v>
      </c>
      <c r="C40" s="11" t="s">
        <v>37</v>
      </c>
      <c r="D40" s="11" t="s">
        <v>49</v>
      </c>
      <c r="E40" s="11">
        <v>1</v>
      </c>
      <c r="F40" s="11" t="s">
        <v>37</v>
      </c>
      <c r="G40" s="11" t="s">
        <v>23</v>
      </c>
      <c r="H40" s="11" t="s">
        <v>24</v>
      </c>
      <c r="I40" s="11" t="s">
        <v>25</v>
      </c>
      <c r="J40" s="11" t="s">
        <v>26</v>
      </c>
      <c r="K40" s="11" t="s">
        <v>37</v>
      </c>
      <c r="L40" s="50">
        <v>46073</v>
      </c>
      <c r="M40" s="11" t="s">
        <v>37</v>
      </c>
      <c r="N40" s="11">
        <v>0</v>
      </c>
      <c r="O40" s="55">
        <f t="shared" si="0"/>
        <v>0</v>
      </c>
      <c r="P40" s="5" t="s">
        <v>50</v>
      </c>
      <c r="Q40" s="75" t="s">
        <v>37</v>
      </c>
      <c r="R40" s="75" t="s">
        <v>37</v>
      </c>
      <c r="S40" s="75" t="s">
        <v>37</v>
      </c>
      <c r="T40" s="11" t="s">
        <v>37</v>
      </c>
      <c r="U40" s="11" t="s">
        <v>37</v>
      </c>
    </row>
    <row r="41" spans="1:21" s="1" customFormat="1" ht="26.4" x14ac:dyDescent="0.3">
      <c r="A41" s="5" t="s">
        <v>1160</v>
      </c>
      <c r="B41" s="11" t="s">
        <v>78</v>
      </c>
      <c r="C41" s="11" t="s">
        <v>37</v>
      </c>
      <c r="D41" s="11" t="s">
        <v>49</v>
      </c>
      <c r="E41" s="11">
        <v>1</v>
      </c>
      <c r="F41" s="11" t="s">
        <v>37</v>
      </c>
      <c r="G41" s="11" t="s">
        <v>23</v>
      </c>
      <c r="H41" s="11" t="s">
        <v>24</v>
      </c>
      <c r="I41" s="11" t="s">
        <v>25</v>
      </c>
      <c r="J41" s="11" t="s">
        <v>26</v>
      </c>
      <c r="K41" s="11" t="s">
        <v>37</v>
      </c>
      <c r="L41" s="50">
        <v>46073</v>
      </c>
      <c r="M41" s="11" t="s">
        <v>37</v>
      </c>
      <c r="N41" s="11">
        <v>0</v>
      </c>
      <c r="O41" s="55">
        <f t="shared" si="0"/>
        <v>0</v>
      </c>
      <c r="P41" s="5" t="s">
        <v>73</v>
      </c>
      <c r="Q41" s="11" t="s">
        <v>37</v>
      </c>
      <c r="R41" s="11" t="s">
        <v>37</v>
      </c>
      <c r="S41" s="11" t="s">
        <v>37</v>
      </c>
      <c r="T41" s="11" t="s">
        <v>37</v>
      </c>
      <c r="U41" s="11" t="s">
        <v>37</v>
      </c>
    </row>
    <row r="42" spans="1:21" s="1" customFormat="1" ht="26.4" x14ac:dyDescent="0.3">
      <c r="A42" s="5" t="s">
        <v>1158</v>
      </c>
      <c r="B42" s="11" t="s">
        <v>78</v>
      </c>
      <c r="C42" s="11" t="s">
        <v>37</v>
      </c>
      <c r="D42" s="11" t="s">
        <v>49</v>
      </c>
      <c r="E42" s="11">
        <v>1</v>
      </c>
      <c r="F42" s="11" t="s">
        <v>37</v>
      </c>
      <c r="G42" s="11" t="s">
        <v>23</v>
      </c>
      <c r="H42" s="11" t="s">
        <v>24</v>
      </c>
      <c r="I42" s="11" t="s">
        <v>25</v>
      </c>
      <c r="J42" s="11" t="s">
        <v>740</v>
      </c>
      <c r="K42" s="11" t="s">
        <v>37</v>
      </c>
      <c r="L42" s="50">
        <v>46073</v>
      </c>
      <c r="M42" s="11" t="s">
        <v>37</v>
      </c>
      <c r="N42" s="11">
        <v>0</v>
      </c>
      <c r="O42" s="55">
        <f t="shared" si="0"/>
        <v>0</v>
      </c>
      <c r="P42" s="5" t="s">
        <v>73</v>
      </c>
      <c r="Q42" s="11" t="s">
        <v>37</v>
      </c>
      <c r="R42" s="11" t="s">
        <v>37</v>
      </c>
      <c r="S42" s="11" t="s">
        <v>37</v>
      </c>
      <c r="T42" s="11" t="s">
        <v>37</v>
      </c>
      <c r="U42" s="11" t="s">
        <v>37</v>
      </c>
    </row>
    <row r="43" spans="1:21" s="1" customFormat="1" ht="26.4" x14ac:dyDescent="0.3">
      <c r="A43" s="5" t="s">
        <v>1164</v>
      </c>
      <c r="B43" s="11" t="s">
        <v>78</v>
      </c>
      <c r="C43" s="11" t="s">
        <v>37</v>
      </c>
      <c r="D43" s="11" t="s">
        <v>49</v>
      </c>
      <c r="E43" s="11">
        <v>1</v>
      </c>
      <c r="F43" s="11" t="s">
        <v>970</v>
      </c>
      <c r="G43" s="11" t="s">
        <v>23</v>
      </c>
      <c r="H43" s="11" t="s">
        <v>24</v>
      </c>
      <c r="I43" s="11" t="s">
        <v>25</v>
      </c>
      <c r="J43" s="11" t="s">
        <v>740</v>
      </c>
      <c r="K43" s="50">
        <v>39797</v>
      </c>
      <c r="L43" s="50">
        <v>46085</v>
      </c>
      <c r="M43" s="11" t="s">
        <v>1246</v>
      </c>
      <c r="N43" s="11">
        <v>14273</v>
      </c>
      <c r="O43" s="55">
        <f t="shared" si="0"/>
        <v>14273</v>
      </c>
      <c r="P43" s="11" t="s">
        <v>73</v>
      </c>
      <c r="Q43" s="43" t="s">
        <v>1117</v>
      </c>
      <c r="R43" s="5" t="s">
        <v>1118</v>
      </c>
      <c r="S43" s="5" t="s">
        <v>1119</v>
      </c>
      <c r="T43" s="11" t="s">
        <v>1295</v>
      </c>
      <c r="U43" s="11" t="s">
        <v>37</v>
      </c>
    </row>
    <row r="44" spans="1:21" s="1" customFormat="1" ht="26.4" x14ac:dyDescent="0.3">
      <c r="A44" s="11" t="s">
        <v>1167</v>
      </c>
      <c r="B44" s="11" t="s">
        <v>78</v>
      </c>
      <c r="C44" s="11" t="s">
        <v>37</v>
      </c>
      <c r="D44" s="5" t="s">
        <v>22</v>
      </c>
      <c r="E44" s="11">
        <v>1</v>
      </c>
      <c r="F44" s="5" t="s">
        <v>970</v>
      </c>
      <c r="G44" s="11" t="s">
        <v>23</v>
      </c>
      <c r="H44" s="11" t="s">
        <v>24</v>
      </c>
      <c r="I44" s="11" t="s">
        <v>25</v>
      </c>
      <c r="J44" s="11" t="s">
        <v>84</v>
      </c>
      <c r="K44" s="50">
        <v>40242</v>
      </c>
      <c r="L44" s="50">
        <v>46069</v>
      </c>
      <c r="M44" s="11" t="s">
        <v>971</v>
      </c>
      <c r="N44" s="11">
        <v>27776</v>
      </c>
      <c r="O44" s="55">
        <f t="shared" si="0"/>
        <v>27776</v>
      </c>
      <c r="P44" s="5" t="s">
        <v>73</v>
      </c>
      <c r="Q44" s="43" t="s">
        <v>1117</v>
      </c>
      <c r="R44" s="5" t="s">
        <v>1118</v>
      </c>
      <c r="S44" s="5" t="s">
        <v>1119</v>
      </c>
      <c r="T44" s="11" t="s">
        <v>1145</v>
      </c>
      <c r="U44" s="11"/>
    </row>
    <row r="45" spans="1:21" s="1" customFormat="1" ht="26.4" x14ac:dyDescent="0.3">
      <c r="A45" s="11" t="s">
        <v>1168</v>
      </c>
      <c r="B45" s="11" t="s">
        <v>78</v>
      </c>
      <c r="C45" s="11" t="s">
        <v>37</v>
      </c>
      <c r="D45" s="5" t="s">
        <v>22</v>
      </c>
      <c r="E45" s="11">
        <v>1</v>
      </c>
      <c r="F45" s="5" t="s">
        <v>970</v>
      </c>
      <c r="G45" s="11" t="s">
        <v>23</v>
      </c>
      <c r="H45" s="11" t="s">
        <v>24</v>
      </c>
      <c r="I45" s="11" t="s">
        <v>25</v>
      </c>
      <c r="J45" s="11" t="s">
        <v>84</v>
      </c>
      <c r="K45" s="50">
        <v>40242</v>
      </c>
      <c r="L45" s="50">
        <v>46069</v>
      </c>
      <c r="M45" s="11" t="s">
        <v>971</v>
      </c>
      <c r="N45" s="11">
        <v>27776</v>
      </c>
      <c r="O45" s="55">
        <f t="shared" si="0"/>
        <v>27776</v>
      </c>
      <c r="P45" s="5" t="s">
        <v>73</v>
      </c>
      <c r="Q45" s="43" t="s">
        <v>1117</v>
      </c>
      <c r="R45" s="5" t="s">
        <v>1118</v>
      </c>
      <c r="S45" s="5" t="s">
        <v>1119</v>
      </c>
      <c r="T45" s="11" t="s">
        <v>1145</v>
      </c>
      <c r="U45" s="11"/>
    </row>
    <row r="46" spans="1:21" s="1" customFormat="1" ht="26.4" x14ac:dyDescent="0.3">
      <c r="A46" s="11" t="s">
        <v>1169</v>
      </c>
      <c r="B46" s="11" t="s">
        <v>78</v>
      </c>
      <c r="C46" s="11" t="s">
        <v>37</v>
      </c>
      <c r="D46" s="5" t="s">
        <v>22</v>
      </c>
      <c r="E46" s="11">
        <v>1</v>
      </c>
      <c r="F46" s="5" t="s">
        <v>970</v>
      </c>
      <c r="G46" s="11" t="s">
        <v>23</v>
      </c>
      <c r="H46" s="11" t="s">
        <v>24</v>
      </c>
      <c r="I46" s="11" t="s">
        <v>25</v>
      </c>
      <c r="J46" s="11" t="s">
        <v>84</v>
      </c>
      <c r="K46" s="50">
        <v>40242</v>
      </c>
      <c r="L46" s="50">
        <v>46069</v>
      </c>
      <c r="M46" s="11" t="s">
        <v>971</v>
      </c>
      <c r="N46" s="11">
        <v>27776</v>
      </c>
      <c r="O46" s="55">
        <f t="shared" si="0"/>
        <v>27776</v>
      </c>
      <c r="P46" s="5" t="s">
        <v>73</v>
      </c>
      <c r="Q46" s="43" t="s">
        <v>1117</v>
      </c>
      <c r="R46" s="5" t="s">
        <v>1118</v>
      </c>
      <c r="S46" s="5" t="s">
        <v>1119</v>
      </c>
      <c r="T46" s="11" t="s">
        <v>1145</v>
      </c>
      <c r="U46" s="11"/>
    </row>
    <row r="47" spans="1:21" s="1" customFormat="1" ht="26.4" x14ac:dyDescent="0.3">
      <c r="A47" s="11" t="s">
        <v>1146</v>
      </c>
      <c r="B47" s="11" t="s">
        <v>85</v>
      </c>
      <c r="C47" s="11" t="s">
        <v>37</v>
      </c>
      <c r="D47" s="5" t="s">
        <v>22</v>
      </c>
      <c r="E47" s="11">
        <v>1</v>
      </c>
      <c r="F47" s="11" t="s">
        <v>1105</v>
      </c>
      <c r="G47" s="11" t="s">
        <v>23</v>
      </c>
      <c r="H47" s="11" t="s">
        <v>24</v>
      </c>
      <c r="I47" s="11" t="s">
        <v>25</v>
      </c>
      <c r="J47" s="11" t="s">
        <v>26</v>
      </c>
      <c r="K47" s="50">
        <v>43495</v>
      </c>
      <c r="L47" s="50">
        <v>46071</v>
      </c>
      <c r="M47" s="5" t="s">
        <v>1131</v>
      </c>
      <c r="N47" s="11">
        <v>303025</v>
      </c>
      <c r="O47" s="55">
        <f t="shared" si="0"/>
        <v>303025</v>
      </c>
      <c r="P47" s="11" t="s">
        <v>73</v>
      </c>
      <c r="Q47" s="43" t="s">
        <v>393</v>
      </c>
      <c r="R47" s="5">
        <v>25447696</v>
      </c>
      <c r="S47" s="5" t="s">
        <v>394</v>
      </c>
      <c r="T47" s="11" t="s">
        <v>538</v>
      </c>
      <c r="U47" s="73" t="s">
        <v>86</v>
      </c>
    </row>
    <row r="48" spans="1:21" s="1" customFormat="1" ht="26.4" x14ac:dyDescent="0.3">
      <c r="A48" s="11" t="s">
        <v>87</v>
      </c>
      <c r="B48" s="11" t="s">
        <v>88</v>
      </c>
      <c r="C48" s="11" t="s">
        <v>37</v>
      </c>
      <c r="D48" s="5" t="s">
        <v>22</v>
      </c>
      <c r="E48" s="11">
        <v>1</v>
      </c>
      <c r="F48" s="11" t="s">
        <v>1105</v>
      </c>
      <c r="G48" s="11" t="s">
        <v>23</v>
      </c>
      <c r="H48" s="11" t="s">
        <v>24</v>
      </c>
      <c r="I48" s="5" t="s">
        <v>25</v>
      </c>
      <c r="J48" s="11" t="s">
        <v>26</v>
      </c>
      <c r="K48" s="50">
        <v>43495</v>
      </c>
      <c r="L48" s="50">
        <v>46071</v>
      </c>
      <c r="M48" s="5" t="s">
        <v>1125</v>
      </c>
      <c r="N48" s="11">
        <v>303025</v>
      </c>
      <c r="O48" s="55">
        <f t="shared" si="0"/>
        <v>303025</v>
      </c>
      <c r="P48" s="11" t="s">
        <v>73</v>
      </c>
      <c r="Q48" s="43" t="s">
        <v>393</v>
      </c>
      <c r="R48" s="5">
        <v>25447696</v>
      </c>
      <c r="S48" s="5" t="s">
        <v>394</v>
      </c>
      <c r="T48" s="11" t="s">
        <v>538</v>
      </c>
      <c r="U48" s="73" t="s">
        <v>86</v>
      </c>
    </row>
    <row r="49" spans="1:21" s="1" customFormat="1" ht="26.4" x14ac:dyDescent="0.3">
      <c r="A49" s="11" t="s">
        <v>89</v>
      </c>
      <c r="B49" s="11" t="s">
        <v>90</v>
      </c>
      <c r="C49" s="11" t="s">
        <v>37</v>
      </c>
      <c r="D49" s="5" t="s">
        <v>22</v>
      </c>
      <c r="E49" s="11">
        <v>1</v>
      </c>
      <c r="F49" s="11" t="s">
        <v>28</v>
      </c>
      <c r="G49" s="11" t="s">
        <v>23</v>
      </c>
      <c r="H49" s="11" t="s">
        <v>24</v>
      </c>
      <c r="I49" s="11" t="s">
        <v>25</v>
      </c>
      <c r="J49" s="11" t="s">
        <v>26</v>
      </c>
      <c r="K49" s="50">
        <v>45016</v>
      </c>
      <c r="L49" s="50">
        <v>46065</v>
      </c>
      <c r="M49" s="11" t="s">
        <v>29</v>
      </c>
      <c r="N49" s="11">
        <v>288045</v>
      </c>
      <c r="O49" s="55">
        <f t="shared" si="0"/>
        <v>288045</v>
      </c>
      <c r="P49" s="11" t="s">
        <v>73</v>
      </c>
      <c r="Q49" s="47" t="s">
        <v>30</v>
      </c>
      <c r="R49" s="31">
        <v>9594357635</v>
      </c>
      <c r="S49" s="31" t="s">
        <v>31</v>
      </c>
      <c r="T49" s="11" t="s">
        <v>32</v>
      </c>
      <c r="U49" s="73" t="s">
        <v>86</v>
      </c>
    </row>
    <row r="50" spans="1:21" s="1" customFormat="1" ht="26.4" x14ac:dyDescent="0.3">
      <c r="A50" s="11" t="s">
        <v>1147</v>
      </c>
      <c r="B50" s="11" t="s">
        <v>88</v>
      </c>
      <c r="C50" s="11" t="s">
        <v>37</v>
      </c>
      <c r="D50" s="5" t="s">
        <v>22</v>
      </c>
      <c r="E50" s="11">
        <v>1</v>
      </c>
      <c r="F50" s="11" t="s">
        <v>28</v>
      </c>
      <c r="G50" s="11" t="s">
        <v>23</v>
      </c>
      <c r="H50" s="11" t="s">
        <v>24</v>
      </c>
      <c r="I50" s="11" t="s">
        <v>25</v>
      </c>
      <c r="J50" s="11" t="s">
        <v>26</v>
      </c>
      <c r="K50" s="50">
        <v>45016</v>
      </c>
      <c r="L50" s="50">
        <v>46065</v>
      </c>
      <c r="M50" s="11" t="s">
        <v>29</v>
      </c>
      <c r="N50" s="11">
        <v>288045</v>
      </c>
      <c r="O50" s="55">
        <f t="shared" si="0"/>
        <v>288045</v>
      </c>
      <c r="P50" s="11" t="s">
        <v>73</v>
      </c>
      <c r="Q50" s="47" t="s">
        <v>30</v>
      </c>
      <c r="R50" s="31">
        <v>9594357635</v>
      </c>
      <c r="S50" s="31" t="s">
        <v>31</v>
      </c>
      <c r="T50" s="11" t="s">
        <v>32</v>
      </c>
      <c r="U50" s="73" t="s">
        <v>86</v>
      </c>
    </row>
    <row r="51" spans="1:21" s="1" customFormat="1" ht="26.4" x14ac:dyDescent="0.3">
      <c r="A51" s="11" t="s">
        <v>1148</v>
      </c>
      <c r="B51" s="11" t="s">
        <v>91</v>
      </c>
      <c r="C51" s="11" t="s">
        <v>37</v>
      </c>
      <c r="D51" s="5" t="s">
        <v>22</v>
      </c>
      <c r="E51" s="11">
        <v>1</v>
      </c>
      <c r="F51" s="11" t="s">
        <v>28</v>
      </c>
      <c r="G51" s="11" t="s">
        <v>23</v>
      </c>
      <c r="H51" s="11" t="s">
        <v>24</v>
      </c>
      <c r="I51" s="11" t="s">
        <v>25</v>
      </c>
      <c r="J51" s="11" t="s">
        <v>26</v>
      </c>
      <c r="K51" s="50">
        <v>45374</v>
      </c>
      <c r="L51" s="50">
        <v>46065</v>
      </c>
      <c r="M51" s="11" t="s">
        <v>40</v>
      </c>
      <c r="N51" s="11">
        <v>345654</v>
      </c>
      <c r="O51" s="55">
        <f t="shared" si="0"/>
        <v>345654</v>
      </c>
      <c r="P51" s="11" t="s">
        <v>73</v>
      </c>
      <c r="Q51" s="47" t="s">
        <v>30</v>
      </c>
      <c r="R51" s="31">
        <v>9594357635</v>
      </c>
      <c r="S51" s="31" t="s">
        <v>31</v>
      </c>
      <c r="T51" s="11" t="s">
        <v>41</v>
      </c>
      <c r="U51" s="73" t="s">
        <v>86</v>
      </c>
    </row>
    <row r="52" spans="1:21" s="1" customFormat="1" ht="26.4" x14ac:dyDescent="0.3">
      <c r="A52" s="11" t="s">
        <v>1149</v>
      </c>
      <c r="B52" s="11" t="s">
        <v>93</v>
      </c>
      <c r="C52" s="11" t="s">
        <v>37</v>
      </c>
      <c r="D52" s="5" t="s">
        <v>22</v>
      </c>
      <c r="E52" s="11">
        <v>1</v>
      </c>
      <c r="F52" s="11" t="s">
        <v>28</v>
      </c>
      <c r="G52" s="11" t="s">
        <v>23</v>
      </c>
      <c r="H52" s="11" t="s">
        <v>24</v>
      </c>
      <c r="I52" s="11" t="s">
        <v>25</v>
      </c>
      <c r="J52" s="11" t="s">
        <v>26</v>
      </c>
      <c r="K52" s="50">
        <v>45374</v>
      </c>
      <c r="L52" s="50">
        <v>46065</v>
      </c>
      <c r="M52" s="11" t="s">
        <v>40</v>
      </c>
      <c r="N52" s="11">
        <v>345654</v>
      </c>
      <c r="O52" s="55">
        <f t="shared" si="0"/>
        <v>345654</v>
      </c>
      <c r="P52" s="11" t="s">
        <v>73</v>
      </c>
      <c r="Q52" s="47" t="s">
        <v>30</v>
      </c>
      <c r="R52" s="31">
        <v>9594357635</v>
      </c>
      <c r="S52" s="31" t="s">
        <v>31</v>
      </c>
      <c r="T52" s="11" t="s">
        <v>41</v>
      </c>
      <c r="U52" s="73" t="s">
        <v>86</v>
      </c>
    </row>
    <row r="53" spans="1:21" s="1" customFormat="1" ht="26.4" x14ac:dyDescent="0.3">
      <c r="A53" s="11" t="s">
        <v>94</v>
      </c>
      <c r="B53" s="11" t="s">
        <v>95</v>
      </c>
      <c r="C53" s="11" t="s">
        <v>37</v>
      </c>
      <c r="D53" s="5" t="s">
        <v>22</v>
      </c>
      <c r="E53" s="11">
        <v>1</v>
      </c>
      <c r="F53" s="11" t="s">
        <v>37</v>
      </c>
      <c r="G53" s="11" t="s">
        <v>23</v>
      </c>
      <c r="H53" s="11" t="s">
        <v>24</v>
      </c>
      <c r="I53" s="11" t="s">
        <v>25</v>
      </c>
      <c r="J53" s="11" t="s">
        <v>26</v>
      </c>
      <c r="K53" s="50">
        <v>25569</v>
      </c>
      <c r="L53" s="50">
        <v>46065</v>
      </c>
      <c r="M53" s="11" t="s">
        <v>37</v>
      </c>
      <c r="N53" s="11">
        <v>0</v>
      </c>
      <c r="O53" s="55">
        <f t="shared" si="0"/>
        <v>0</v>
      </c>
      <c r="P53" s="5" t="s">
        <v>73</v>
      </c>
      <c r="Q53" s="11" t="s">
        <v>37</v>
      </c>
      <c r="R53" s="11" t="s">
        <v>37</v>
      </c>
      <c r="S53" s="11" t="s">
        <v>37</v>
      </c>
      <c r="T53" s="11" t="s">
        <v>37</v>
      </c>
      <c r="U53" s="73" t="s">
        <v>86</v>
      </c>
    </row>
    <row r="54" spans="1:21" s="1" customFormat="1" ht="26.4" x14ac:dyDescent="0.3">
      <c r="A54" s="11" t="s">
        <v>96</v>
      </c>
      <c r="B54" s="11" t="s">
        <v>88</v>
      </c>
      <c r="C54" s="11" t="s">
        <v>37</v>
      </c>
      <c r="D54" s="5" t="s">
        <v>22</v>
      </c>
      <c r="E54" s="11">
        <v>1</v>
      </c>
      <c r="F54" s="11" t="s">
        <v>37</v>
      </c>
      <c r="G54" s="11" t="s">
        <v>23</v>
      </c>
      <c r="H54" s="11" t="s">
        <v>24</v>
      </c>
      <c r="I54" s="11" t="s">
        <v>25</v>
      </c>
      <c r="J54" s="11" t="s">
        <v>26</v>
      </c>
      <c r="K54" s="50">
        <v>25569</v>
      </c>
      <c r="L54" s="50">
        <v>46065</v>
      </c>
      <c r="M54" s="11" t="s">
        <v>37</v>
      </c>
      <c r="N54" s="11">
        <v>0</v>
      </c>
      <c r="O54" s="55">
        <f t="shared" si="0"/>
        <v>0</v>
      </c>
      <c r="P54" s="5" t="s">
        <v>73</v>
      </c>
      <c r="Q54" s="11" t="s">
        <v>37</v>
      </c>
      <c r="R54" s="11" t="s">
        <v>37</v>
      </c>
      <c r="S54" s="11" t="s">
        <v>37</v>
      </c>
      <c r="T54" s="11" t="s">
        <v>37</v>
      </c>
      <c r="U54" s="73" t="s">
        <v>86</v>
      </c>
    </row>
    <row r="55" spans="1:21" s="1" customFormat="1" ht="14.4" x14ac:dyDescent="0.3">
      <c r="A55" s="11" t="s">
        <v>1146</v>
      </c>
      <c r="B55" s="11" t="s">
        <v>97</v>
      </c>
      <c r="C55" s="11" t="s">
        <v>37</v>
      </c>
      <c r="D55" s="11" t="s">
        <v>49</v>
      </c>
      <c r="E55" s="11">
        <v>1</v>
      </c>
      <c r="F55" s="11" t="s">
        <v>37</v>
      </c>
      <c r="G55" s="11" t="s">
        <v>23</v>
      </c>
      <c r="H55" s="11" t="s">
        <v>24</v>
      </c>
      <c r="I55" s="11" t="s">
        <v>25</v>
      </c>
      <c r="J55" s="11" t="s">
        <v>26</v>
      </c>
      <c r="K55" s="11" t="s">
        <v>37</v>
      </c>
      <c r="L55" s="50">
        <v>46073</v>
      </c>
      <c r="M55" s="11" t="s">
        <v>37</v>
      </c>
      <c r="N55" s="11">
        <v>0</v>
      </c>
      <c r="O55" s="55">
        <f t="shared" si="0"/>
        <v>0</v>
      </c>
      <c r="P55" s="11" t="s">
        <v>73</v>
      </c>
      <c r="Q55" s="75" t="s">
        <v>37</v>
      </c>
      <c r="R55" s="75" t="s">
        <v>37</v>
      </c>
      <c r="S55" s="75" t="s">
        <v>37</v>
      </c>
      <c r="T55" s="11" t="s">
        <v>37</v>
      </c>
      <c r="U55" s="11" t="s">
        <v>37</v>
      </c>
    </row>
    <row r="56" spans="1:21" s="1" customFormat="1" ht="14.4" x14ac:dyDescent="0.3">
      <c r="A56" s="11" t="s">
        <v>89</v>
      </c>
      <c r="B56" s="11" t="s">
        <v>97</v>
      </c>
      <c r="C56" s="11" t="s">
        <v>37</v>
      </c>
      <c r="D56" s="11" t="s">
        <v>49</v>
      </c>
      <c r="E56" s="11">
        <v>1</v>
      </c>
      <c r="F56" s="11" t="s">
        <v>37</v>
      </c>
      <c r="G56" s="11" t="s">
        <v>23</v>
      </c>
      <c r="H56" s="11" t="s">
        <v>24</v>
      </c>
      <c r="I56" s="11" t="s">
        <v>25</v>
      </c>
      <c r="J56" s="11" t="s">
        <v>26</v>
      </c>
      <c r="K56" s="11" t="s">
        <v>37</v>
      </c>
      <c r="L56" s="50">
        <v>46073</v>
      </c>
      <c r="M56" s="11" t="s">
        <v>37</v>
      </c>
      <c r="N56" s="11">
        <v>0</v>
      </c>
      <c r="O56" s="55">
        <f t="shared" si="0"/>
        <v>0</v>
      </c>
      <c r="P56" s="11" t="s">
        <v>73</v>
      </c>
      <c r="Q56" s="11" t="s">
        <v>37</v>
      </c>
      <c r="R56" s="11" t="s">
        <v>37</v>
      </c>
      <c r="S56" s="11" t="s">
        <v>37</v>
      </c>
      <c r="T56" s="11" t="s">
        <v>37</v>
      </c>
      <c r="U56" s="11" t="s">
        <v>37</v>
      </c>
    </row>
    <row r="57" spans="1:21" s="1" customFormat="1" ht="14.4" x14ac:dyDescent="0.3">
      <c r="A57" s="11" t="s">
        <v>1147</v>
      </c>
      <c r="B57" s="11" t="s">
        <v>97</v>
      </c>
      <c r="C57" s="11" t="s">
        <v>37</v>
      </c>
      <c r="D57" s="11" t="s">
        <v>49</v>
      </c>
      <c r="E57" s="11">
        <v>1</v>
      </c>
      <c r="F57" s="11" t="s">
        <v>37</v>
      </c>
      <c r="G57" s="11" t="s">
        <v>23</v>
      </c>
      <c r="H57" s="11" t="s">
        <v>24</v>
      </c>
      <c r="I57" s="11" t="s">
        <v>25</v>
      </c>
      <c r="J57" s="11" t="s">
        <v>26</v>
      </c>
      <c r="K57" s="11" t="s">
        <v>37</v>
      </c>
      <c r="L57" s="50">
        <v>46073</v>
      </c>
      <c r="M57" s="11" t="s">
        <v>37</v>
      </c>
      <c r="N57" s="11">
        <v>0</v>
      </c>
      <c r="O57" s="55">
        <f t="shared" si="0"/>
        <v>0</v>
      </c>
      <c r="P57" s="11" t="s">
        <v>73</v>
      </c>
      <c r="Q57" s="11" t="s">
        <v>37</v>
      </c>
      <c r="R57" s="11" t="s">
        <v>37</v>
      </c>
      <c r="S57" s="11" t="s">
        <v>37</v>
      </c>
      <c r="T57" s="11" t="s">
        <v>37</v>
      </c>
      <c r="U57" s="11" t="s">
        <v>37</v>
      </c>
    </row>
    <row r="58" spans="1:21" s="1" customFormat="1" ht="26.4" x14ac:dyDescent="0.3">
      <c r="A58" s="11" t="s">
        <v>92</v>
      </c>
      <c r="B58" s="11" t="s">
        <v>97</v>
      </c>
      <c r="C58" s="11" t="s">
        <v>37</v>
      </c>
      <c r="D58" s="11" t="s">
        <v>49</v>
      </c>
      <c r="E58" s="11">
        <v>1</v>
      </c>
      <c r="F58" s="11" t="s">
        <v>970</v>
      </c>
      <c r="G58" s="11" t="s">
        <v>23</v>
      </c>
      <c r="H58" s="11" t="s">
        <v>24</v>
      </c>
      <c r="I58" s="11" t="s">
        <v>25</v>
      </c>
      <c r="J58" s="11" t="s">
        <v>26</v>
      </c>
      <c r="K58" s="50">
        <v>39797</v>
      </c>
      <c r="L58" s="50">
        <v>46085</v>
      </c>
      <c r="M58" s="11" t="s">
        <v>1246</v>
      </c>
      <c r="N58" s="11">
        <v>5328</v>
      </c>
      <c r="O58" s="55">
        <f t="shared" si="0"/>
        <v>5328</v>
      </c>
      <c r="P58" s="11" t="s">
        <v>73</v>
      </c>
      <c r="Q58" s="43" t="s">
        <v>1117</v>
      </c>
      <c r="R58" s="5" t="s">
        <v>1118</v>
      </c>
      <c r="S58" s="5" t="s">
        <v>1119</v>
      </c>
      <c r="T58" s="11" t="s">
        <v>1295</v>
      </c>
      <c r="U58" s="11" t="s">
        <v>37</v>
      </c>
    </row>
    <row r="59" spans="1:21" s="1" customFormat="1" ht="26.4" x14ac:dyDescent="0.3">
      <c r="A59" s="11" t="s">
        <v>98</v>
      </c>
      <c r="B59" s="11" t="s">
        <v>88</v>
      </c>
      <c r="C59" s="11" t="s">
        <v>37</v>
      </c>
      <c r="D59" s="5" t="s">
        <v>22</v>
      </c>
      <c r="E59" s="11">
        <v>1</v>
      </c>
      <c r="F59" s="5" t="s">
        <v>970</v>
      </c>
      <c r="G59" s="11" t="s">
        <v>23</v>
      </c>
      <c r="H59" s="11" t="s">
        <v>24</v>
      </c>
      <c r="I59" s="11" t="s">
        <v>25</v>
      </c>
      <c r="J59" s="11" t="s">
        <v>26</v>
      </c>
      <c r="K59" s="50">
        <v>40242</v>
      </c>
      <c r="L59" s="50">
        <v>46069</v>
      </c>
      <c r="M59" s="11" t="s">
        <v>971</v>
      </c>
      <c r="N59" s="11">
        <v>405284</v>
      </c>
      <c r="O59" s="55">
        <f t="shared" si="0"/>
        <v>405284</v>
      </c>
      <c r="P59" s="5" t="s">
        <v>73</v>
      </c>
      <c r="Q59" s="43" t="s">
        <v>1117</v>
      </c>
      <c r="R59" s="5" t="s">
        <v>1118</v>
      </c>
      <c r="S59" s="5" t="s">
        <v>1119</v>
      </c>
      <c r="T59" s="11" t="s">
        <v>1145</v>
      </c>
      <c r="U59" s="11" t="s">
        <v>37</v>
      </c>
    </row>
    <row r="60" spans="1:21" s="1" customFormat="1" ht="26.4" x14ac:dyDescent="0.3">
      <c r="A60" s="11" t="s">
        <v>99</v>
      </c>
      <c r="B60" s="11" t="s">
        <v>88</v>
      </c>
      <c r="C60" s="11" t="s">
        <v>37</v>
      </c>
      <c r="D60" s="5" t="s">
        <v>22</v>
      </c>
      <c r="E60" s="11">
        <v>1</v>
      </c>
      <c r="F60" s="5" t="s">
        <v>970</v>
      </c>
      <c r="G60" s="11" t="s">
        <v>23</v>
      </c>
      <c r="H60" s="11" t="s">
        <v>24</v>
      </c>
      <c r="I60" s="11" t="s">
        <v>25</v>
      </c>
      <c r="J60" s="11" t="s">
        <v>26</v>
      </c>
      <c r="K60" s="50">
        <v>40242</v>
      </c>
      <c r="L60" s="50">
        <v>46069</v>
      </c>
      <c r="M60" s="11" t="s">
        <v>971</v>
      </c>
      <c r="N60" s="11">
        <v>405284</v>
      </c>
      <c r="O60" s="55">
        <f t="shared" si="0"/>
        <v>405284</v>
      </c>
      <c r="P60" s="5" t="s">
        <v>73</v>
      </c>
      <c r="Q60" s="43" t="s">
        <v>1117</v>
      </c>
      <c r="R60" s="5" t="s">
        <v>1118</v>
      </c>
      <c r="S60" s="5" t="s">
        <v>1119</v>
      </c>
      <c r="T60" s="11" t="s">
        <v>1145</v>
      </c>
      <c r="U60" s="11" t="s">
        <v>37</v>
      </c>
    </row>
    <row r="61" spans="1:21" s="1" customFormat="1" ht="26.4" x14ac:dyDescent="0.3">
      <c r="A61" s="11" t="s">
        <v>100</v>
      </c>
      <c r="B61" s="11" t="s">
        <v>88</v>
      </c>
      <c r="C61" s="11" t="s">
        <v>37</v>
      </c>
      <c r="D61" s="5" t="s">
        <v>22</v>
      </c>
      <c r="E61" s="11">
        <v>1</v>
      </c>
      <c r="F61" s="5" t="s">
        <v>970</v>
      </c>
      <c r="G61" s="11" t="s">
        <v>23</v>
      </c>
      <c r="H61" s="11" t="s">
        <v>24</v>
      </c>
      <c r="I61" s="11" t="s">
        <v>25</v>
      </c>
      <c r="J61" s="11" t="s">
        <v>26</v>
      </c>
      <c r="K61" s="50">
        <v>40242</v>
      </c>
      <c r="L61" s="50">
        <v>46069</v>
      </c>
      <c r="M61" s="11" t="s">
        <v>971</v>
      </c>
      <c r="N61" s="11">
        <v>405284</v>
      </c>
      <c r="O61" s="55">
        <f t="shared" si="0"/>
        <v>405284</v>
      </c>
      <c r="P61" s="11" t="s">
        <v>73</v>
      </c>
      <c r="Q61" s="43" t="s">
        <v>1117</v>
      </c>
      <c r="R61" s="5" t="s">
        <v>1118</v>
      </c>
      <c r="S61" s="5" t="s">
        <v>1119</v>
      </c>
      <c r="T61" s="11" t="s">
        <v>1145</v>
      </c>
      <c r="U61" s="11" t="s">
        <v>37</v>
      </c>
    </row>
    <row r="62" spans="1:21" s="1" customFormat="1" ht="26.4" x14ac:dyDescent="0.3">
      <c r="A62" s="11" t="s">
        <v>101</v>
      </c>
      <c r="B62" s="11" t="s">
        <v>102</v>
      </c>
      <c r="C62" s="11" t="s">
        <v>37</v>
      </c>
      <c r="D62" s="5" t="s">
        <v>22</v>
      </c>
      <c r="E62" s="11">
        <v>1</v>
      </c>
      <c r="F62" s="11" t="s">
        <v>1105</v>
      </c>
      <c r="G62" s="11" t="s">
        <v>23</v>
      </c>
      <c r="H62" s="11" t="s">
        <v>24</v>
      </c>
      <c r="I62" s="11" t="s">
        <v>25</v>
      </c>
      <c r="J62" s="11" t="s">
        <v>26</v>
      </c>
      <c r="K62" s="50">
        <v>43495</v>
      </c>
      <c r="L62" s="50">
        <v>46071</v>
      </c>
      <c r="M62" s="5" t="s">
        <v>1125</v>
      </c>
      <c r="N62" s="11">
        <v>401200</v>
      </c>
      <c r="O62" s="55">
        <f t="shared" si="0"/>
        <v>401200</v>
      </c>
      <c r="P62" s="11" t="s">
        <v>73</v>
      </c>
      <c r="Q62" s="43" t="s">
        <v>393</v>
      </c>
      <c r="R62" s="5">
        <v>25447696</v>
      </c>
      <c r="S62" s="5" t="s">
        <v>394</v>
      </c>
      <c r="T62" s="11" t="s">
        <v>538</v>
      </c>
      <c r="U62" s="11" t="s">
        <v>101</v>
      </c>
    </row>
    <row r="63" spans="1:21" s="1" customFormat="1" ht="26.4" x14ac:dyDescent="0.3">
      <c r="A63" s="11" t="s">
        <v>103</v>
      </c>
      <c r="B63" s="11" t="s">
        <v>104</v>
      </c>
      <c r="C63" s="11" t="s">
        <v>37</v>
      </c>
      <c r="D63" s="5" t="s">
        <v>22</v>
      </c>
      <c r="E63" s="11">
        <v>1</v>
      </c>
      <c r="F63" s="11" t="s">
        <v>1105</v>
      </c>
      <c r="G63" s="11" t="s">
        <v>23</v>
      </c>
      <c r="H63" s="11" t="s">
        <v>24</v>
      </c>
      <c r="I63" s="5" t="s">
        <v>25</v>
      </c>
      <c r="J63" s="11" t="s">
        <v>26</v>
      </c>
      <c r="K63" s="50">
        <v>43495</v>
      </c>
      <c r="L63" s="50">
        <v>46071</v>
      </c>
      <c r="M63" s="5" t="s">
        <v>1125</v>
      </c>
      <c r="N63" s="11">
        <v>401200</v>
      </c>
      <c r="O63" s="55">
        <f t="shared" si="0"/>
        <v>401200</v>
      </c>
      <c r="P63" s="11" t="s">
        <v>73</v>
      </c>
      <c r="Q63" s="43" t="s">
        <v>393</v>
      </c>
      <c r="R63" s="5">
        <v>25447696</v>
      </c>
      <c r="S63" s="5" t="s">
        <v>394</v>
      </c>
      <c r="T63" s="11" t="s">
        <v>538</v>
      </c>
      <c r="U63" s="11" t="s">
        <v>103</v>
      </c>
    </row>
    <row r="64" spans="1:21" s="1" customFormat="1" ht="14.4" x14ac:dyDescent="0.3">
      <c r="A64" s="11" t="s">
        <v>105</v>
      </c>
      <c r="B64" s="11" t="s">
        <v>106</v>
      </c>
      <c r="C64" s="11" t="s">
        <v>37</v>
      </c>
      <c r="D64" s="5" t="s">
        <v>22</v>
      </c>
      <c r="E64" s="11">
        <v>1</v>
      </c>
      <c r="F64" s="11" t="s">
        <v>28</v>
      </c>
      <c r="G64" s="11" t="s">
        <v>23</v>
      </c>
      <c r="H64" s="11" t="s">
        <v>24</v>
      </c>
      <c r="I64" s="11" t="s">
        <v>25</v>
      </c>
      <c r="J64" s="11" t="s">
        <v>26</v>
      </c>
      <c r="K64" s="50">
        <v>45016</v>
      </c>
      <c r="L64" s="50">
        <v>46065</v>
      </c>
      <c r="M64" s="11" t="s">
        <v>29</v>
      </c>
      <c r="N64" s="11">
        <v>202645</v>
      </c>
      <c r="O64" s="55">
        <f t="shared" si="0"/>
        <v>202645</v>
      </c>
      <c r="P64" s="11" t="s">
        <v>73</v>
      </c>
      <c r="Q64" s="47" t="s">
        <v>30</v>
      </c>
      <c r="R64" s="31">
        <v>9594357635</v>
      </c>
      <c r="S64" s="31" t="s">
        <v>31</v>
      </c>
      <c r="T64" s="11" t="s">
        <v>32</v>
      </c>
      <c r="U64" s="11" t="s">
        <v>105</v>
      </c>
    </row>
    <row r="65" spans="1:21" s="1" customFormat="1" ht="14.4" x14ac:dyDescent="0.3">
      <c r="A65" s="11" t="s">
        <v>107</v>
      </c>
      <c r="B65" s="11" t="s">
        <v>106</v>
      </c>
      <c r="C65" s="11" t="s">
        <v>37</v>
      </c>
      <c r="D65" s="5" t="s">
        <v>22</v>
      </c>
      <c r="E65" s="11">
        <v>1</v>
      </c>
      <c r="F65" s="11" t="s">
        <v>28</v>
      </c>
      <c r="G65" s="11" t="s">
        <v>23</v>
      </c>
      <c r="H65" s="11" t="s">
        <v>24</v>
      </c>
      <c r="I65" s="11" t="s">
        <v>25</v>
      </c>
      <c r="J65" s="11" t="s">
        <v>26</v>
      </c>
      <c r="K65" s="50">
        <v>45016</v>
      </c>
      <c r="L65" s="50">
        <v>46065</v>
      </c>
      <c r="M65" s="11" t="s">
        <v>29</v>
      </c>
      <c r="N65" s="11">
        <v>202645</v>
      </c>
      <c r="O65" s="55">
        <f t="shared" si="0"/>
        <v>202645</v>
      </c>
      <c r="P65" s="11" t="s">
        <v>73</v>
      </c>
      <c r="Q65" s="47" t="s">
        <v>30</v>
      </c>
      <c r="R65" s="31">
        <v>9594357635</v>
      </c>
      <c r="S65" s="31" t="s">
        <v>31</v>
      </c>
      <c r="T65" s="11" t="s">
        <v>32</v>
      </c>
      <c r="U65" s="11" t="s">
        <v>107</v>
      </c>
    </row>
    <row r="66" spans="1:21" s="1" customFormat="1" ht="14.4" x14ac:dyDescent="0.3">
      <c r="A66" s="11" t="s">
        <v>108</v>
      </c>
      <c r="B66" s="11" t="s">
        <v>109</v>
      </c>
      <c r="C66" s="11" t="s">
        <v>81</v>
      </c>
      <c r="D66" s="5" t="s">
        <v>22</v>
      </c>
      <c r="E66" s="11">
        <v>1</v>
      </c>
      <c r="F66" s="11" t="s">
        <v>28</v>
      </c>
      <c r="G66" s="11" t="s">
        <v>23</v>
      </c>
      <c r="H66" s="11" t="s">
        <v>24</v>
      </c>
      <c r="I66" s="11" t="s">
        <v>25</v>
      </c>
      <c r="J66" s="11" t="s">
        <v>26</v>
      </c>
      <c r="K66" s="50">
        <v>45374</v>
      </c>
      <c r="L66" s="50">
        <v>46065</v>
      </c>
      <c r="M66" s="11" t="s">
        <v>40</v>
      </c>
      <c r="N66" s="11">
        <v>243174</v>
      </c>
      <c r="O66" s="55">
        <f t="shared" ref="O66:O129" si="1">N66*E66</f>
        <v>243174</v>
      </c>
      <c r="P66" s="11" t="s">
        <v>73</v>
      </c>
      <c r="Q66" s="47" t="s">
        <v>30</v>
      </c>
      <c r="R66" s="31">
        <v>9594357635</v>
      </c>
      <c r="S66" s="31" t="s">
        <v>31</v>
      </c>
      <c r="T66" s="11" t="s">
        <v>41</v>
      </c>
      <c r="U66" s="11" t="s">
        <v>108</v>
      </c>
    </row>
    <row r="67" spans="1:21" s="1" customFormat="1" ht="14.4" x14ac:dyDescent="0.3">
      <c r="A67" s="11" t="s">
        <v>110</v>
      </c>
      <c r="B67" s="11" t="s">
        <v>111</v>
      </c>
      <c r="C67" s="11" t="s">
        <v>81</v>
      </c>
      <c r="D67" s="5" t="s">
        <v>22</v>
      </c>
      <c r="E67" s="11">
        <v>1</v>
      </c>
      <c r="F67" s="11" t="s">
        <v>28</v>
      </c>
      <c r="G67" s="11" t="s">
        <v>23</v>
      </c>
      <c r="H67" s="11" t="s">
        <v>24</v>
      </c>
      <c r="I67" s="11" t="s">
        <v>25</v>
      </c>
      <c r="J67" s="11" t="s">
        <v>26</v>
      </c>
      <c r="K67" s="50">
        <v>45374</v>
      </c>
      <c r="L67" s="50">
        <v>46065</v>
      </c>
      <c r="M67" s="11" t="s">
        <v>40</v>
      </c>
      <c r="N67" s="11">
        <v>243174</v>
      </c>
      <c r="O67" s="55">
        <f t="shared" si="1"/>
        <v>243174</v>
      </c>
      <c r="P67" s="11" t="s">
        <v>73</v>
      </c>
      <c r="Q67" s="47" t="s">
        <v>30</v>
      </c>
      <c r="R67" s="31">
        <v>9594357635</v>
      </c>
      <c r="S67" s="31" t="s">
        <v>31</v>
      </c>
      <c r="T67" s="11" t="s">
        <v>41</v>
      </c>
      <c r="U67" s="11" t="s">
        <v>110</v>
      </c>
    </row>
    <row r="68" spans="1:21" s="1" customFormat="1" ht="14.4" x14ac:dyDescent="0.3">
      <c r="A68" s="11" t="s">
        <v>112</v>
      </c>
      <c r="B68" s="11" t="s">
        <v>113</v>
      </c>
      <c r="C68" s="11" t="s">
        <v>37</v>
      </c>
      <c r="D68" s="5" t="s">
        <v>22</v>
      </c>
      <c r="E68" s="11">
        <v>1</v>
      </c>
      <c r="F68" s="11" t="s">
        <v>37</v>
      </c>
      <c r="G68" s="11" t="s">
        <v>23</v>
      </c>
      <c r="H68" s="11" t="s">
        <v>24</v>
      </c>
      <c r="I68" s="11" t="s">
        <v>25</v>
      </c>
      <c r="J68" s="11" t="s">
        <v>26</v>
      </c>
      <c r="K68" s="50">
        <v>25569</v>
      </c>
      <c r="L68" s="50">
        <v>46065</v>
      </c>
      <c r="M68" s="11" t="s">
        <v>37</v>
      </c>
      <c r="N68" s="11">
        <v>0</v>
      </c>
      <c r="O68" s="55">
        <f t="shared" si="1"/>
        <v>0</v>
      </c>
      <c r="P68" s="11" t="s">
        <v>73</v>
      </c>
      <c r="Q68" s="11" t="s">
        <v>37</v>
      </c>
      <c r="R68" s="11" t="s">
        <v>37</v>
      </c>
      <c r="S68" s="11" t="s">
        <v>37</v>
      </c>
      <c r="T68" s="11" t="s">
        <v>37</v>
      </c>
      <c r="U68" s="11" t="s">
        <v>112</v>
      </c>
    </row>
    <row r="69" spans="1:21" s="1" customFormat="1" ht="14.4" x14ac:dyDescent="0.3">
      <c r="A69" s="11" t="s">
        <v>114</v>
      </c>
      <c r="B69" s="11" t="s">
        <v>115</v>
      </c>
      <c r="C69" s="11" t="s">
        <v>37</v>
      </c>
      <c r="D69" s="5" t="s">
        <v>22</v>
      </c>
      <c r="E69" s="11">
        <v>1</v>
      </c>
      <c r="F69" s="11" t="s">
        <v>37</v>
      </c>
      <c r="G69" s="11" t="s">
        <v>23</v>
      </c>
      <c r="H69" s="11" t="s">
        <v>24</v>
      </c>
      <c r="I69" s="11" t="s">
        <v>25</v>
      </c>
      <c r="J69" s="11" t="s">
        <v>26</v>
      </c>
      <c r="K69" s="50">
        <v>25569</v>
      </c>
      <c r="L69" s="50">
        <v>46065</v>
      </c>
      <c r="M69" s="11" t="s">
        <v>37</v>
      </c>
      <c r="N69" s="11">
        <v>0</v>
      </c>
      <c r="O69" s="55">
        <f t="shared" si="1"/>
        <v>0</v>
      </c>
      <c r="P69" s="11" t="s">
        <v>73</v>
      </c>
      <c r="Q69" s="11" t="s">
        <v>37</v>
      </c>
      <c r="R69" s="11" t="s">
        <v>37</v>
      </c>
      <c r="S69" s="11" t="s">
        <v>37</v>
      </c>
      <c r="T69" s="11" t="s">
        <v>37</v>
      </c>
      <c r="U69" s="11" t="s">
        <v>114</v>
      </c>
    </row>
    <row r="70" spans="1:21" s="1" customFormat="1" ht="14.4" x14ac:dyDescent="0.3">
      <c r="A70" s="11" t="s">
        <v>105</v>
      </c>
      <c r="B70" s="11" t="s">
        <v>106</v>
      </c>
      <c r="C70" s="11" t="s">
        <v>37</v>
      </c>
      <c r="D70" s="11" t="s">
        <v>49</v>
      </c>
      <c r="E70" s="11">
        <v>1</v>
      </c>
      <c r="F70" s="11" t="s">
        <v>37</v>
      </c>
      <c r="G70" s="11" t="s">
        <v>23</v>
      </c>
      <c r="H70" s="11" t="s">
        <v>24</v>
      </c>
      <c r="I70" s="11" t="s">
        <v>25</v>
      </c>
      <c r="J70" s="11" t="s">
        <v>26</v>
      </c>
      <c r="K70" s="11" t="s">
        <v>37</v>
      </c>
      <c r="L70" s="50">
        <v>46073</v>
      </c>
      <c r="M70" s="11" t="s">
        <v>37</v>
      </c>
      <c r="N70" s="11">
        <v>0</v>
      </c>
      <c r="O70" s="55">
        <f t="shared" si="1"/>
        <v>0</v>
      </c>
      <c r="P70" s="11" t="s">
        <v>73</v>
      </c>
      <c r="Q70" s="11" t="s">
        <v>37</v>
      </c>
      <c r="R70" s="11" t="s">
        <v>37</v>
      </c>
      <c r="S70" s="11" t="s">
        <v>37</v>
      </c>
      <c r="T70" s="11" t="s">
        <v>37</v>
      </c>
      <c r="U70" s="11" t="s">
        <v>37</v>
      </c>
    </row>
    <row r="71" spans="1:21" s="1" customFormat="1" ht="14.4" x14ac:dyDescent="0.3">
      <c r="A71" s="11" t="s">
        <v>107</v>
      </c>
      <c r="B71" s="11" t="s">
        <v>106</v>
      </c>
      <c r="C71" s="11" t="s">
        <v>37</v>
      </c>
      <c r="D71" s="11" t="s">
        <v>49</v>
      </c>
      <c r="E71" s="11">
        <v>1</v>
      </c>
      <c r="F71" s="11" t="s">
        <v>37</v>
      </c>
      <c r="G71" s="11" t="s">
        <v>23</v>
      </c>
      <c r="H71" s="11" t="s">
        <v>24</v>
      </c>
      <c r="I71" s="11" t="s">
        <v>25</v>
      </c>
      <c r="J71" s="11" t="s">
        <v>26</v>
      </c>
      <c r="K71" s="11" t="s">
        <v>37</v>
      </c>
      <c r="L71" s="50">
        <v>46073</v>
      </c>
      <c r="M71" s="11" t="s">
        <v>37</v>
      </c>
      <c r="N71" s="11">
        <v>0</v>
      </c>
      <c r="O71" s="55">
        <f t="shared" si="1"/>
        <v>0</v>
      </c>
      <c r="P71" s="11" t="s">
        <v>73</v>
      </c>
      <c r="Q71" s="11" t="s">
        <v>37</v>
      </c>
      <c r="R71" s="11" t="s">
        <v>37</v>
      </c>
      <c r="S71" s="11" t="s">
        <v>37</v>
      </c>
      <c r="T71" s="11" t="s">
        <v>37</v>
      </c>
      <c r="U71" s="11" t="s">
        <v>37</v>
      </c>
    </row>
    <row r="72" spans="1:21" s="1" customFormat="1" ht="26.4" x14ac:dyDescent="0.3">
      <c r="A72" s="11" t="s">
        <v>110</v>
      </c>
      <c r="B72" s="11" t="s">
        <v>106</v>
      </c>
      <c r="C72" s="11" t="s">
        <v>37</v>
      </c>
      <c r="D72" s="11" t="s">
        <v>49</v>
      </c>
      <c r="E72" s="11">
        <v>1</v>
      </c>
      <c r="F72" s="11" t="s">
        <v>970</v>
      </c>
      <c r="G72" s="11" t="s">
        <v>23</v>
      </c>
      <c r="H72" s="11" t="s">
        <v>24</v>
      </c>
      <c r="I72" s="11" t="s">
        <v>25</v>
      </c>
      <c r="J72" s="11" t="s">
        <v>26</v>
      </c>
      <c r="K72" s="50">
        <v>39797</v>
      </c>
      <c r="L72" s="50">
        <v>46085</v>
      </c>
      <c r="M72" s="11" t="s">
        <v>1246</v>
      </c>
      <c r="N72" s="11">
        <v>5328</v>
      </c>
      <c r="O72" s="55">
        <f t="shared" si="1"/>
        <v>5328</v>
      </c>
      <c r="P72" s="11" t="s">
        <v>73</v>
      </c>
      <c r="Q72" s="43" t="s">
        <v>1117</v>
      </c>
      <c r="R72" s="5" t="s">
        <v>1118</v>
      </c>
      <c r="S72" s="5" t="s">
        <v>1119</v>
      </c>
      <c r="T72" s="11" t="s">
        <v>1295</v>
      </c>
      <c r="U72" s="11" t="s">
        <v>37</v>
      </c>
    </row>
    <row r="73" spans="1:21" s="1" customFormat="1" ht="26.4" x14ac:dyDescent="0.3">
      <c r="A73" s="11" t="s">
        <v>116</v>
      </c>
      <c r="B73" s="11" t="s">
        <v>106</v>
      </c>
      <c r="C73" s="11" t="s">
        <v>37</v>
      </c>
      <c r="D73" s="5" t="s">
        <v>22</v>
      </c>
      <c r="E73" s="11">
        <v>1</v>
      </c>
      <c r="F73" s="5" t="s">
        <v>970</v>
      </c>
      <c r="G73" s="11" t="s">
        <v>23</v>
      </c>
      <c r="H73" s="11" t="s">
        <v>24</v>
      </c>
      <c r="I73" s="11" t="s">
        <v>25</v>
      </c>
      <c r="J73" s="11" t="s">
        <v>26</v>
      </c>
      <c r="K73" s="50">
        <v>40242</v>
      </c>
      <c r="L73" s="50">
        <v>46069</v>
      </c>
      <c r="M73" s="11" t="s">
        <v>971</v>
      </c>
      <c r="N73" s="11">
        <v>392507</v>
      </c>
      <c r="O73" s="55">
        <f t="shared" si="1"/>
        <v>392507</v>
      </c>
      <c r="P73" s="11" t="s">
        <v>73</v>
      </c>
      <c r="Q73" s="43" t="s">
        <v>1117</v>
      </c>
      <c r="R73" s="5" t="s">
        <v>1118</v>
      </c>
      <c r="S73" s="5" t="s">
        <v>1119</v>
      </c>
      <c r="T73" s="11" t="s">
        <v>1145</v>
      </c>
      <c r="U73" s="11" t="s">
        <v>37</v>
      </c>
    </row>
    <row r="74" spans="1:21" s="1" customFormat="1" ht="26.4" x14ac:dyDescent="0.3">
      <c r="A74" s="11" t="s">
        <v>117</v>
      </c>
      <c r="B74" s="11" t="s">
        <v>106</v>
      </c>
      <c r="C74" s="11" t="s">
        <v>37</v>
      </c>
      <c r="D74" s="5" t="s">
        <v>22</v>
      </c>
      <c r="E74" s="11">
        <v>1</v>
      </c>
      <c r="F74" s="5" t="s">
        <v>970</v>
      </c>
      <c r="G74" s="11" t="s">
        <v>23</v>
      </c>
      <c r="H74" s="11" t="s">
        <v>24</v>
      </c>
      <c r="I74" s="11" t="s">
        <v>25</v>
      </c>
      <c r="J74" s="11" t="s">
        <v>26</v>
      </c>
      <c r="K74" s="50">
        <v>40242</v>
      </c>
      <c r="L74" s="50">
        <v>46069</v>
      </c>
      <c r="M74" s="11" t="s">
        <v>971</v>
      </c>
      <c r="N74" s="11">
        <v>392507</v>
      </c>
      <c r="O74" s="55">
        <f t="shared" si="1"/>
        <v>392507</v>
      </c>
      <c r="P74" s="11" t="s">
        <v>73</v>
      </c>
      <c r="Q74" s="43" t="s">
        <v>1117</v>
      </c>
      <c r="R74" s="5" t="s">
        <v>1118</v>
      </c>
      <c r="S74" s="5" t="s">
        <v>1119</v>
      </c>
      <c r="T74" s="11" t="s">
        <v>1145</v>
      </c>
      <c r="U74" s="11" t="s">
        <v>37</v>
      </c>
    </row>
    <row r="75" spans="1:21" s="1" customFormat="1" ht="26.4" x14ac:dyDescent="0.3">
      <c r="A75" s="11" t="s">
        <v>118</v>
      </c>
      <c r="B75" s="11" t="s">
        <v>119</v>
      </c>
      <c r="C75" s="11" t="s">
        <v>37</v>
      </c>
      <c r="D75" s="5" t="s">
        <v>22</v>
      </c>
      <c r="E75" s="11">
        <v>1</v>
      </c>
      <c r="F75" s="5" t="s">
        <v>970</v>
      </c>
      <c r="G75" s="11" t="s">
        <v>23</v>
      </c>
      <c r="H75" s="11" t="s">
        <v>24</v>
      </c>
      <c r="I75" s="11" t="s">
        <v>25</v>
      </c>
      <c r="J75" s="11" t="s">
        <v>26</v>
      </c>
      <c r="K75" s="50">
        <v>40242</v>
      </c>
      <c r="L75" s="50">
        <v>46069</v>
      </c>
      <c r="M75" s="11" t="s">
        <v>971</v>
      </c>
      <c r="N75" s="11">
        <v>392507</v>
      </c>
      <c r="O75" s="55">
        <f t="shared" si="1"/>
        <v>392507</v>
      </c>
      <c r="P75" s="11" t="s">
        <v>73</v>
      </c>
      <c r="Q75" s="43" t="s">
        <v>1117</v>
      </c>
      <c r="R75" s="5" t="s">
        <v>1118</v>
      </c>
      <c r="S75" s="5" t="s">
        <v>1119</v>
      </c>
      <c r="T75" s="11" t="s">
        <v>1145</v>
      </c>
      <c r="U75" s="11" t="s">
        <v>37</v>
      </c>
    </row>
    <row r="76" spans="1:21" s="1" customFormat="1" ht="26.4" x14ac:dyDescent="0.3">
      <c r="A76" s="11" t="s">
        <v>120</v>
      </c>
      <c r="B76" s="11" t="s">
        <v>121</v>
      </c>
      <c r="C76" s="11" t="s">
        <v>37</v>
      </c>
      <c r="D76" s="5" t="s">
        <v>22</v>
      </c>
      <c r="E76" s="11">
        <v>1</v>
      </c>
      <c r="F76" s="11" t="s">
        <v>1105</v>
      </c>
      <c r="G76" s="11" t="s">
        <v>23</v>
      </c>
      <c r="H76" s="11" t="s">
        <v>24</v>
      </c>
      <c r="I76" s="11" t="s">
        <v>25</v>
      </c>
      <c r="J76" s="11" t="s">
        <v>26</v>
      </c>
      <c r="K76" s="50">
        <v>43495</v>
      </c>
      <c r="L76" s="50">
        <v>46071</v>
      </c>
      <c r="M76" s="5" t="s">
        <v>1125</v>
      </c>
      <c r="N76" s="11">
        <v>535335</v>
      </c>
      <c r="O76" s="55">
        <f t="shared" si="1"/>
        <v>535335</v>
      </c>
      <c r="P76" s="11" t="s">
        <v>73</v>
      </c>
      <c r="Q76" s="43" t="s">
        <v>393</v>
      </c>
      <c r="R76" s="5">
        <v>25447696</v>
      </c>
      <c r="S76" s="5" t="s">
        <v>394</v>
      </c>
      <c r="T76" s="11" t="s">
        <v>538</v>
      </c>
      <c r="U76" s="11" t="s">
        <v>37</v>
      </c>
    </row>
    <row r="77" spans="1:21" s="1" customFormat="1" ht="26.4" x14ac:dyDescent="0.3">
      <c r="A77" s="11" t="s">
        <v>122</v>
      </c>
      <c r="B77" s="11" t="s">
        <v>123</v>
      </c>
      <c r="C77" s="11" t="s">
        <v>37</v>
      </c>
      <c r="D77" s="5" t="s">
        <v>22</v>
      </c>
      <c r="E77" s="11">
        <v>1</v>
      </c>
      <c r="F77" s="11" t="s">
        <v>1105</v>
      </c>
      <c r="G77" s="11" t="s">
        <v>23</v>
      </c>
      <c r="H77" s="11" t="s">
        <v>24</v>
      </c>
      <c r="I77" s="5" t="s">
        <v>25</v>
      </c>
      <c r="J77" s="11" t="s">
        <v>26</v>
      </c>
      <c r="K77" s="50">
        <v>43495</v>
      </c>
      <c r="L77" s="50">
        <v>46071</v>
      </c>
      <c r="M77" s="5" t="s">
        <v>1125</v>
      </c>
      <c r="N77" s="11">
        <v>535335</v>
      </c>
      <c r="O77" s="55">
        <f t="shared" si="1"/>
        <v>535335</v>
      </c>
      <c r="P77" s="11" t="s">
        <v>73</v>
      </c>
      <c r="Q77" s="43" t="s">
        <v>393</v>
      </c>
      <c r="R77" s="5">
        <v>25447696</v>
      </c>
      <c r="S77" s="5" t="s">
        <v>394</v>
      </c>
      <c r="T77" s="11" t="s">
        <v>538</v>
      </c>
      <c r="U77" s="11" t="s">
        <v>37</v>
      </c>
    </row>
    <row r="78" spans="1:21" s="1" customFormat="1" ht="26.4" x14ac:dyDescent="0.3">
      <c r="A78" s="11" t="s">
        <v>124</v>
      </c>
      <c r="B78" s="11" t="s">
        <v>125</v>
      </c>
      <c r="C78" s="11" t="s">
        <v>37</v>
      </c>
      <c r="D78" s="5" t="s">
        <v>22</v>
      </c>
      <c r="E78" s="11">
        <v>1</v>
      </c>
      <c r="F78" s="11" t="s">
        <v>28</v>
      </c>
      <c r="G78" s="11" t="s">
        <v>23</v>
      </c>
      <c r="H78" s="11" t="s">
        <v>24</v>
      </c>
      <c r="I78" s="11" t="s">
        <v>25</v>
      </c>
      <c r="J78" s="11" t="s">
        <v>26</v>
      </c>
      <c r="K78" s="50">
        <v>45016</v>
      </c>
      <c r="L78" s="50">
        <v>46065</v>
      </c>
      <c r="M78" s="11" t="s">
        <v>29</v>
      </c>
      <c r="N78" s="11">
        <v>108738</v>
      </c>
      <c r="O78" s="55">
        <f t="shared" si="1"/>
        <v>108738</v>
      </c>
      <c r="P78" s="11" t="s">
        <v>73</v>
      </c>
      <c r="Q78" s="47" t="s">
        <v>30</v>
      </c>
      <c r="R78" s="31">
        <v>9594357635</v>
      </c>
      <c r="S78" s="31" t="s">
        <v>31</v>
      </c>
      <c r="T78" s="11" t="s">
        <v>32</v>
      </c>
      <c r="U78" s="11" t="s">
        <v>37</v>
      </c>
    </row>
    <row r="79" spans="1:21" s="1" customFormat="1" ht="26.4" x14ac:dyDescent="0.3">
      <c r="A79" s="11" t="s">
        <v>126</v>
      </c>
      <c r="B79" s="11" t="s">
        <v>106</v>
      </c>
      <c r="C79" s="11" t="s">
        <v>37</v>
      </c>
      <c r="D79" s="5" t="s">
        <v>22</v>
      </c>
      <c r="E79" s="11">
        <v>1</v>
      </c>
      <c r="F79" s="11" t="s">
        <v>28</v>
      </c>
      <c r="G79" s="11" t="s">
        <v>23</v>
      </c>
      <c r="H79" s="11" t="s">
        <v>24</v>
      </c>
      <c r="I79" s="11" t="s">
        <v>25</v>
      </c>
      <c r="J79" s="11" t="s">
        <v>26</v>
      </c>
      <c r="K79" s="50">
        <v>45016</v>
      </c>
      <c r="L79" s="50">
        <v>46065</v>
      </c>
      <c r="M79" s="11" t="s">
        <v>29</v>
      </c>
      <c r="N79" s="11">
        <v>108738</v>
      </c>
      <c r="O79" s="55">
        <f t="shared" si="1"/>
        <v>108738</v>
      </c>
      <c r="P79" s="11" t="s">
        <v>73</v>
      </c>
      <c r="Q79" s="47" t="s">
        <v>30</v>
      </c>
      <c r="R79" s="31">
        <v>9594357635</v>
      </c>
      <c r="S79" s="31" t="s">
        <v>31</v>
      </c>
      <c r="T79" s="11" t="s">
        <v>32</v>
      </c>
      <c r="U79" s="11" t="s">
        <v>37</v>
      </c>
    </row>
    <row r="80" spans="1:21" s="1" customFormat="1" ht="26.4" x14ac:dyDescent="0.3">
      <c r="A80" s="11" t="s">
        <v>127</v>
      </c>
      <c r="B80" s="11" t="s">
        <v>128</v>
      </c>
      <c r="C80" s="11" t="s">
        <v>37</v>
      </c>
      <c r="D80" s="5" t="s">
        <v>22</v>
      </c>
      <c r="E80" s="11">
        <v>1</v>
      </c>
      <c r="F80" s="11" t="s">
        <v>28</v>
      </c>
      <c r="G80" s="11" t="s">
        <v>23</v>
      </c>
      <c r="H80" s="11" t="s">
        <v>24</v>
      </c>
      <c r="I80" s="11" t="s">
        <v>25</v>
      </c>
      <c r="J80" s="11" t="s">
        <v>26</v>
      </c>
      <c r="K80" s="50">
        <v>45374</v>
      </c>
      <c r="L80" s="50">
        <v>46066</v>
      </c>
      <c r="M80" s="11" t="s">
        <v>40</v>
      </c>
      <c r="N80" s="11">
        <v>10930</v>
      </c>
      <c r="O80" s="55">
        <f t="shared" si="1"/>
        <v>10930</v>
      </c>
      <c r="P80" s="11" t="s">
        <v>73</v>
      </c>
      <c r="Q80" s="47" t="s">
        <v>30</v>
      </c>
      <c r="R80" s="31">
        <v>9594357635</v>
      </c>
      <c r="S80" s="31" t="s">
        <v>31</v>
      </c>
      <c r="T80" s="11" t="s">
        <v>41</v>
      </c>
      <c r="U80" s="11" t="s">
        <v>37</v>
      </c>
    </row>
    <row r="81" spans="1:21" s="1" customFormat="1" ht="26.4" x14ac:dyDescent="0.3">
      <c r="A81" s="11" t="s">
        <v>129</v>
      </c>
      <c r="B81" s="11" t="s">
        <v>130</v>
      </c>
      <c r="C81" s="11" t="s">
        <v>37</v>
      </c>
      <c r="D81" s="5" t="s">
        <v>22</v>
      </c>
      <c r="E81" s="11">
        <v>1</v>
      </c>
      <c r="F81" s="11" t="s">
        <v>28</v>
      </c>
      <c r="G81" s="11" t="s">
        <v>23</v>
      </c>
      <c r="H81" s="11" t="s">
        <v>24</v>
      </c>
      <c r="I81" s="11" t="s">
        <v>25</v>
      </c>
      <c r="J81" s="11" t="s">
        <v>26</v>
      </c>
      <c r="K81" s="50">
        <v>45374</v>
      </c>
      <c r="L81" s="50">
        <v>46066</v>
      </c>
      <c r="M81" s="11" t="s">
        <v>40</v>
      </c>
      <c r="N81" s="11">
        <v>10930</v>
      </c>
      <c r="O81" s="55">
        <f t="shared" si="1"/>
        <v>10930</v>
      </c>
      <c r="P81" s="11" t="s">
        <v>73</v>
      </c>
      <c r="Q81" s="47" t="s">
        <v>30</v>
      </c>
      <c r="R81" s="31">
        <v>9594357635</v>
      </c>
      <c r="S81" s="31" t="s">
        <v>31</v>
      </c>
      <c r="T81" s="11" t="s">
        <v>41</v>
      </c>
      <c r="U81" s="11" t="s">
        <v>37</v>
      </c>
    </row>
    <row r="82" spans="1:21" s="1" customFormat="1" ht="26.4" x14ac:dyDescent="0.3">
      <c r="A82" s="11" t="s">
        <v>131</v>
      </c>
      <c r="B82" s="11" t="s">
        <v>132</v>
      </c>
      <c r="C82" s="11" t="s">
        <v>37</v>
      </c>
      <c r="D82" s="5" t="s">
        <v>22</v>
      </c>
      <c r="E82" s="11">
        <v>1</v>
      </c>
      <c r="F82" s="11" t="s">
        <v>37</v>
      </c>
      <c r="G82" s="11" t="s">
        <v>23</v>
      </c>
      <c r="H82" s="11" t="s">
        <v>24</v>
      </c>
      <c r="I82" s="11" t="s">
        <v>25</v>
      </c>
      <c r="J82" s="11" t="s">
        <v>26</v>
      </c>
      <c r="K82" s="50">
        <v>25569</v>
      </c>
      <c r="L82" s="50">
        <v>46065</v>
      </c>
      <c r="M82" s="11" t="s">
        <v>37</v>
      </c>
      <c r="N82" s="11">
        <v>0</v>
      </c>
      <c r="O82" s="55">
        <f t="shared" si="1"/>
        <v>0</v>
      </c>
      <c r="P82" s="11" t="s">
        <v>73</v>
      </c>
      <c r="Q82" s="11" t="s">
        <v>37</v>
      </c>
      <c r="R82" s="11" t="s">
        <v>37</v>
      </c>
      <c r="S82" s="11" t="s">
        <v>37</v>
      </c>
      <c r="T82" s="11" t="s">
        <v>37</v>
      </c>
      <c r="U82" s="11" t="s">
        <v>37</v>
      </c>
    </row>
    <row r="83" spans="1:21" s="1" customFormat="1" ht="26.4" x14ac:dyDescent="0.3">
      <c r="A83" s="11" t="s">
        <v>133</v>
      </c>
      <c r="B83" s="11" t="s">
        <v>106</v>
      </c>
      <c r="C83" s="11" t="s">
        <v>37</v>
      </c>
      <c r="D83" s="5" t="s">
        <v>22</v>
      </c>
      <c r="E83" s="11">
        <v>1</v>
      </c>
      <c r="F83" s="11" t="s">
        <v>37</v>
      </c>
      <c r="G83" s="11" t="s">
        <v>23</v>
      </c>
      <c r="H83" s="11" t="s">
        <v>24</v>
      </c>
      <c r="I83" s="11" t="s">
        <v>25</v>
      </c>
      <c r="J83" s="11" t="s">
        <v>26</v>
      </c>
      <c r="K83" s="50">
        <v>25569</v>
      </c>
      <c r="L83" s="50">
        <v>46065</v>
      </c>
      <c r="M83" s="11" t="s">
        <v>37</v>
      </c>
      <c r="N83" s="11">
        <v>0</v>
      </c>
      <c r="O83" s="55">
        <f t="shared" si="1"/>
        <v>0</v>
      </c>
      <c r="P83" s="11" t="s">
        <v>73</v>
      </c>
      <c r="Q83" s="11" t="s">
        <v>37</v>
      </c>
      <c r="R83" s="11" t="s">
        <v>37</v>
      </c>
      <c r="S83" s="11" t="s">
        <v>37</v>
      </c>
      <c r="T83" s="11" t="s">
        <v>37</v>
      </c>
      <c r="U83" s="11" t="s">
        <v>37</v>
      </c>
    </row>
    <row r="84" spans="1:21" s="1" customFormat="1" ht="26.4" x14ac:dyDescent="0.3">
      <c r="A84" s="11" t="s">
        <v>124</v>
      </c>
      <c r="B84" s="11" t="s">
        <v>106</v>
      </c>
      <c r="C84" s="11" t="s">
        <v>37</v>
      </c>
      <c r="D84" s="11" t="s">
        <v>49</v>
      </c>
      <c r="E84" s="11">
        <v>1</v>
      </c>
      <c r="F84" s="11" t="s">
        <v>37</v>
      </c>
      <c r="G84" s="11" t="s">
        <v>23</v>
      </c>
      <c r="H84" s="11" t="s">
        <v>24</v>
      </c>
      <c r="I84" s="11" t="s">
        <v>25</v>
      </c>
      <c r="J84" s="11" t="s">
        <v>26</v>
      </c>
      <c r="K84" s="11" t="s">
        <v>37</v>
      </c>
      <c r="L84" s="50">
        <v>46073</v>
      </c>
      <c r="M84" s="11" t="s">
        <v>37</v>
      </c>
      <c r="N84" s="11">
        <v>0</v>
      </c>
      <c r="O84" s="55">
        <f t="shared" si="1"/>
        <v>0</v>
      </c>
      <c r="P84" s="11" t="s">
        <v>73</v>
      </c>
      <c r="Q84" s="11" t="s">
        <v>37</v>
      </c>
      <c r="R84" s="11" t="s">
        <v>37</v>
      </c>
      <c r="S84" s="11" t="s">
        <v>37</v>
      </c>
      <c r="T84" s="11" t="s">
        <v>37</v>
      </c>
      <c r="U84" s="11" t="s">
        <v>37</v>
      </c>
    </row>
    <row r="85" spans="1:21" s="1" customFormat="1" ht="26.4" x14ac:dyDescent="0.3">
      <c r="A85" s="11" t="s">
        <v>126</v>
      </c>
      <c r="B85" s="11" t="s">
        <v>106</v>
      </c>
      <c r="C85" s="11" t="s">
        <v>37</v>
      </c>
      <c r="D85" s="11" t="s">
        <v>49</v>
      </c>
      <c r="E85" s="11">
        <v>1</v>
      </c>
      <c r="F85" s="11" t="s">
        <v>37</v>
      </c>
      <c r="G85" s="11" t="s">
        <v>23</v>
      </c>
      <c r="H85" s="11" t="s">
        <v>24</v>
      </c>
      <c r="I85" s="11" t="s">
        <v>25</v>
      </c>
      <c r="J85" s="11" t="s">
        <v>26</v>
      </c>
      <c r="K85" s="11" t="s">
        <v>37</v>
      </c>
      <c r="L85" s="50">
        <v>46073</v>
      </c>
      <c r="M85" s="11" t="s">
        <v>37</v>
      </c>
      <c r="N85" s="11">
        <v>0</v>
      </c>
      <c r="O85" s="55">
        <f t="shared" si="1"/>
        <v>0</v>
      </c>
      <c r="P85" s="11" t="s">
        <v>73</v>
      </c>
      <c r="Q85" s="11" t="s">
        <v>37</v>
      </c>
      <c r="R85" s="11" t="s">
        <v>37</v>
      </c>
      <c r="S85" s="11" t="s">
        <v>37</v>
      </c>
      <c r="T85" s="11" t="s">
        <v>37</v>
      </c>
      <c r="U85" s="11" t="s">
        <v>37</v>
      </c>
    </row>
    <row r="86" spans="1:21" s="1" customFormat="1" ht="26.4" x14ac:dyDescent="0.3">
      <c r="A86" s="11" t="s">
        <v>129</v>
      </c>
      <c r="B86" s="11" t="s">
        <v>106</v>
      </c>
      <c r="C86" s="11" t="s">
        <v>37</v>
      </c>
      <c r="D86" s="11" t="s">
        <v>49</v>
      </c>
      <c r="E86" s="11">
        <v>1</v>
      </c>
      <c r="F86" s="11" t="s">
        <v>970</v>
      </c>
      <c r="G86" s="11" t="s">
        <v>23</v>
      </c>
      <c r="H86" s="11" t="s">
        <v>24</v>
      </c>
      <c r="I86" s="11" t="s">
        <v>25</v>
      </c>
      <c r="J86" s="11" t="s">
        <v>26</v>
      </c>
      <c r="K86" s="50">
        <v>39797</v>
      </c>
      <c r="L86" s="50">
        <v>46085</v>
      </c>
      <c r="M86" s="11" t="s">
        <v>1246</v>
      </c>
      <c r="N86" s="11">
        <v>135188</v>
      </c>
      <c r="O86" s="55">
        <f t="shared" si="1"/>
        <v>135188</v>
      </c>
      <c r="P86" s="11" t="s">
        <v>73</v>
      </c>
      <c r="Q86" s="43" t="s">
        <v>1117</v>
      </c>
      <c r="R86" s="5" t="s">
        <v>1118</v>
      </c>
      <c r="S86" s="5" t="s">
        <v>1119</v>
      </c>
      <c r="T86" s="11" t="s">
        <v>1295</v>
      </c>
      <c r="U86" s="11" t="s">
        <v>37</v>
      </c>
    </row>
    <row r="87" spans="1:21" s="1" customFormat="1" ht="26.4" x14ac:dyDescent="0.3">
      <c r="A87" s="11" t="s">
        <v>134</v>
      </c>
      <c r="B87" s="11" t="s">
        <v>106</v>
      </c>
      <c r="C87" s="11" t="s">
        <v>37</v>
      </c>
      <c r="D87" s="5" t="s">
        <v>22</v>
      </c>
      <c r="E87" s="11">
        <v>1</v>
      </c>
      <c r="F87" s="5" t="s">
        <v>970</v>
      </c>
      <c r="G87" s="11" t="s">
        <v>23</v>
      </c>
      <c r="H87" s="11" t="s">
        <v>24</v>
      </c>
      <c r="I87" s="11" t="s">
        <v>25</v>
      </c>
      <c r="J87" s="11" t="s">
        <v>26</v>
      </c>
      <c r="K87" s="50">
        <v>40242</v>
      </c>
      <c r="L87" s="50">
        <v>46069</v>
      </c>
      <c r="M87" s="11" t="s">
        <v>971</v>
      </c>
      <c r="N87" s="11">
        <v>206145</v>
      </c>
      <c r="O87" s="55">
        <f t="shared" si="1"/>
        <v>206145</v>
      </c>
      <c r="P87" s="11" t="s">
        <v>73</v>
      </c>
      <c r="Q87" s="43" t="s">
        <v>1117</v>
      </c>
      <c r="R87" s="5" t="s">
        <v>1118</v>
      </c>
      <c r="S87" s="5" t="s">
        <v>1119</v>
      </c>
      <c r="T87" s="11" t="s">
        <v>1145</v>
      </c>
      <c r="U87" s="11" t="s">
        <v>37</v>
      </c>
    </row>
    <row r="88" spans="1:21" s="1" customFormat="1" ht="26.4" x14ac:dyDescent="0.3">
      <c r="A88" s="11" t="s">
        <v>135</v>
      </c>
      <c r="B88" s="11" t="s">
        <v>106</v>
      </c>
      <c r="C88" s="11" t="s">
        <v>37</v>
      </c>
      <c r="D88" s="5" t="s">
        <v>22</v>
      </c>
      <c r="E88" s="11">
        <v>1</v>
      </c>
      <c r="F88" s="5" t="s">
        <v>970</v>
      </c>
      <c r="G88" s="11" t="s">
        <v>23</v>
      </c>
      <c r="H88" s="11" t="s">
        <v>24</v>
      </c>
      <c r="I88" s="11" t="s">
        <v>25</v>
      </c>
      <c r="J88" s="11" t="s">
        <v>26</v>
      </c>
      <c r="K88" s="50">
        <v>40242</v>
      </c>
      <c r="L88" s="50">
        <v>46069</v>
      </c>
      <c r="M88" s="11" t="s">
        <v>971</v>
      </c>
      <c r="N88" s="11">
        <v>206145</v>
      </c>
      <c r="O88" s="55">
        <f t="shared" si="1"/>
        <v>206145</v>
      </c>
      <c r="P88" s="11" t="s">
        <v>73</v>
      </c>
      <c r="Q88" s="43" t="s">
        <v>1117</v>
      </c>
      <c r="R88" s="5" t="s">
        <v>1118</v>
      </c>
      <c r="S88" s="5" t="s">
        <v>1119</v>
      </c>
      <c r="T88" s="11" t="s">
        <v>1145</v>
      </c>
      <c r="U88" s="11" t="s">
        <v>37</v>
      </c>
    </row>
    <row r="89" spans="1:21" s="1" customFormat="1" ht="26.4" x14ac:dyDescent="0.3">
      <c r="A89" s="11" t="s">
        <v>136</v>
      </c>
      <c r="B89" s="11" t="s">
        <v>137</v>
      </c>
      <c r="C89" s="11" t="s">
        <v>37</v>
      </c>
      <c r="D89" s="5" t="s">
        <v>22</v>
      </c>
      <c r="E89" s="11">
        <v>1</v>
      </c>
      <c r="F89" s="5" t="s">
        <v>970</v>
      </c>
      <c r="G89" s="11" t="s">
        <v>23</v>
      </c>
      <c r="H89" s="11" t="s">
        <v>24</v>
      </c>
      <c r="I89" s="11" t="s">
        <v>25</v>
      </c>
      <c r="J89" s="11" t="s">
        <v>26</v>
      </c>
      <c r="K89" s="50">
        <v>40242</v>
      </c>
      <c r="L89" s="50">
        <v>46069</v>
      </c>
      <c r="M89" s="11" t="s">
        <v>971</v>
      </c>
      <c r="N89" s="11">
        <v>206145</v>
      </c>
      <c r="O89" s="55">
        <f t="shared" si="1"/>
        <v>206145</v>
      </c>
      <c r="P89" s="11" t="s">
        <v>73</v>
      </c>
      <c r="Q89" s="43" t="s">
        <v>1117</v>
      </c>
      <c r="R89" s="5" t="s">
        <v>1118</v>
      </c>
      <c r="S89" s="5" t="s">
        <v>1119</v>
      </c>
      <c r="T89" s="11" t="s">
        <v>1145</v>
      </c>
      <c r="U89" s="11" t="s">
        <v>37</v>
      </c>
    </row>
    <row r="90" spans="1:21" s="1" customFormat="1" ht="26.4" x14ac:dyDescent="0.3">
      <c r="A90" s="11" t="s">
        <v>138</v>
      </c>
      <c r="B90" s="11" t="s">
        <v>139</v>
      </c>
      <c r="C90" s="11" t="s">
        <v>37</v>
      </c>
      <c r="D90" s="5" t="s">
        <v>22</v>
      </c>
      <c r="E90" s="11">
        <v>1</v>
      </c>
      <c r="F90" s="11" t="s">
        <v>1105</v>
      </c>
      <c r="G90" s="11" t="s">
        <v>23</v>
      </c>
      <c r="H90" s="11" t="s">
        <v>24</v>
      </c>
      <c r="I90" s="11" t="s">
        <v>25</v>
      </c>
      <c r="J90" s="11" t="s">
        <v>26</v>
      </c>
      <c r="K90" s="50">
        <v>43495</v>
      </c>
      <c r="L90" s="50">
        <v>46071</v>
      </c>
      <c r="M90" s="5" t="s">
        <v>1125</v>
      </c>
      <c r="N90" s="11">
        <v>16795</v>
      </c>
      <c r="O90" s="55">
        <f t="shared" si="1"/>
        <v>16795</v>
      </c>
      <c r="P90" s="11" t="s">
        <v>73</v>
      </c>
      <c r="Q90" s="43" t="s">
        <v>393</v>
      </c>
      <c r="R90" s="5">
        <v>25447696</v>
      </c>
      <c r="S90" s="5" t="s">
        <v>394</v>
      </c>
      <c r="T90" s="11" t="s">
        <v>538</v>
      </c>
      <c r="U90" s="11" t="s">
        <v>37</v>
      </c>
    </row>
    <row r="91" spans="1:21" s="1" customFormat="1" ht="26.4" x14ac:dyDescent="0.3">
      <c r="A91" s="11" t="s">
        <v>140</v>
      </c>
      <c r="B91" s="11" t="s">
        <v>141</v>
      </c>
      <c r="C91" s="11" t="s">
        <v>37</v>
      </c>
      <c r="D91" s="5" t="s">
        <v>22</v>
      </c>
      <c r="E91" s="11">
        <v>1</v>
      </c>
      <c r="F91" s="11" t="s">
        <v>1105</v>
      </c>
      <c r="G91" s="11" t="s">
        <v>23</v>
      </c>
      <c r="H91" s="11" t="s">
        <v>24</v>
      </c>
      <c r="I91" s="11" t="s">
        <v>25</v>
      </c>
      <c r="J91" s="11" t="s">
        <v>26</v>
      </c>
      <c r="K91" s="50">
        <v>43495</v>
      </c>
      <c r="L91" s="50">
        <v>46071</v>
      </c>
      <c r="M91" s="5" t="s">
        <v>1125</v>
      </c>
      <c r="N91" s="11">
        <v>16795</v>
      </c>
      <c r="O91" s="55">
        <f t="shared" si="1"/>
        <v>16795</v>
      </c>
      <c r="P91" s="11" t="s">
        <v>73</v>
      </c>
      <c r="Q91" s="43" t="s">
        <v>393</v>
      </c>
      <c r="R91" s="5">
        <v>25447696</v>
      </c>
      <c r="S91" s="5" t="s">
        <v>394</v>
      </c>
      <c r="T91" s="11" t="s">
        <v>538</v>
      </c>
      <c r="U91" s="11" t="s">
        <v>37</v>
      </c>
    </row>
    <row r="92" spans="1:21" s="1" customFormat="1" ht="26.4" x14ac:dyDescent="0.3">
      <c r="A92" s="11" t="s">
        <v>142</v>
      </c>
      <c r="B92" s="11" t="s">
        <v>143</v>
      </c>
      <c r="C92" s="11" t="s">
        <v>37</v>
      </c>
      <c r="D92" s="5" t="s">
        <v>22</v>
      </c>
      <c r="E92" s="11">
        <v>1</v>
      </c>
      <c r="F92" s="11" t="s">
        <v>1105</v>
      </c>
      <c r="G92" s="11" t="s">
        <v>23</v>
      </c>
      <c r="H92" s="11" t="s">
        <v>24</v>
      </c>
      <c r="I92" s="11" t="s">
        <v>25</v>
      </c>
      <c r="J92" s="11" t="s">
        <v>26</v>
      </c>
      <c r="K92" s="50">
        <v>43495</v>
      </c>
      <c r="L92" s="50">
        <v>46071</v>
      </c>
      <c r="M92" s="5" t="s">
        <v>1125</v>
      </c>
      <c r="N92" s="11">
        <v>16795</v>
      </c>
      <c r="O92" s="55">
        <f t="shared" si="1"/>
        <v>16795</v>
      </c>
      <c r="P92" s="11" t="s">
        <v>73</v>
      </c>
      <c r="Q92" s="43" t="s">
        <v>393</v>
      </c>
      <c r="R92" s="5">
        <v>25447696</v>
      </c>
      <c r="S92" s="5" t="s">
        <v>394</v>
      </c>
      <c r="T92" s="11" t="s">
        <v>538</v>
      </c>
      <c r="U92" s="11" t="s">
        <v>37</v>
      </c>
    </row>
    <row r="93" spans="1:21" s="1" customFormat="1" ht="26.4" x14ac:dyDescent="0.3">
      <c r="A93" s="11" t="s">
        <v>144</v>
      </c>
      <c r="B93" s="11" t="s">
        <v>145</v>
      </c>
      <c r="C93" s="11" t="s">
        <v>37</v>
      </c>
      <c r="D93" s="5" t="s">
        <v>22</v>
      </c>
      <c r="E93" s="11">
        <v>1</v>
      </c>
      <c r="F93" s="11" t="s">
        <v>1105</v>
      </c>
      <c r="G93" s="11" t="s">
        <v>23</v>
      </c>
      <c r="H93" s="11" t="s">
        <v>24</v>
      </c>
      <c r="I93" s="11" t="s">
        <v>25</v>
      </c>
      <c r="J93" s="11" t="s">
        <v>26</v>
      </c>
      <c r="K93" s="50">
        <v>43495</v>
      </c>
      <c r="L93" s="50">
        <v>46071</v>
      </c>
      <c r="M93" s="5" t="s">
        <v>1125</v>
      </c>
      <c r="N93" s="11">
        <v>16795</v>
      </c>
      <c r="O93" s="55">
        <f t="shared" si="1"/>
        <v>16795</v>
      </c>
      <c r="P93" s="11" t="s">
        <v>73</v>
      </c>
      <c r="Q93" s="43" t="s">
        <v>393</v>
      </c>
      <c r="R93" s="5">
        <v>25447696</v>
      </c>
      <c r="S93" s="5" t="s">
        <v>394</v>
      </c>
      <c r="T93" s="11" t="s">
        <v>538</v>
      </c>
      <c r="U93" s="11" t="s">
        <v>37</v>
      </c>
    </row>
    <row r="94" spans="1:21" s="1" customFormat="1" ht="26.4" x14ac:dyDescent="0.3">
      <c r="A94" s="11" t="s">
        <v>146</v>
      </c>
      <c r="B94" s="11" t="s">
        <v>147</v>
      </c>
      <c r="C94" s="11" t="s">
        <v>37</v>
      </c>
      <c r="D94" s="5" t="s">
        <v>22</v>
      </c>
      <c r="E94" s="11">
        <v>1</v>
      </c>
      <c r="F94" s="11" t="s">
        <v>1105</v>
      </c>
      <c r="G94" s="11" t="s">
        <v>23</v>
      </c>
      <c r="H94" s="11" t="s">
        <v>24</v>
      </c>
      <c r="I94" s="11" t="s">
        <v>25</v>
      </c>
      <c r="J94" s="11" t="s">
        <v>26</v>
      </c>
      <c r="K94" s="50">
        <v>43495</v>
      </c>
      <c r="L94" s="50">
        <v>46071</v>
      </c>
      <c r="M94" s="5" t="s">
        <v>1125</v>
      </c>
      <c r="N94" s="11">
        <v>16795</v>
      </c>
      <c r="O94" s="55">
        <f t="shared" si="1"/>
        <v>16795</v>
      </c>
      <c r="P94" s="11" t="s">
        <v>73</v>
      </c>
      <c r="Q94" s="43" t="s">
        <v>393</v>
      </c>
      <c r="R94" s="5">
        <v>25447696</v>
      </c>
      <c r="S94" s="5" t="s">
        <v>394</v>
      </c>
      <c r="T94" s="11" t="s">
        <v>538</v>
      </c>
      <c r="U94" s="11" t="s">
        <v>37</v>
      </c>
    </row>
    <row r="95" spans="1:21" s="1" customFormat="1" ht="26.4" x14ac:dyDescent="0.3">
      <c r="A95" s="11" t="s">
        <v>148</v>
      </c>
      <c r="B95" s="11" t="s">
        <v>149</v>
      </c>
      <c r="C95" s="11" t="s">
        <v>37</v>
      </c>
      <c r="D95" s="5" t="s">
        <v>22</v>
      </c>
      <c r="E95" s="11">
        <v>1</v>
      </c>
      <c r="F95" s="11" t="s">
        <v>1105</v>
      </c>
      <c r="G95" s="11" t="s">
        <v>23</v>
      </c>
      <c r="H95" s="11" t="s">
        <v>24</v>
      </c>
      <c r="I95" s="11" t="s">
        <v>25</v>
      </c>
      <c r="J95" s="11" t="s">
        <v>26</v>
      </c>
      <c r="K95" s="50">
        <v>43495</v>
      </c>
      <c r="L95" s="50">
        <v>46071</v>
      </c>
      <c r="M95" s="5" t="s">
        <v>1125</v>
      </c>
      <c r="N95" s="11">
        <v>16795</v>
      </c>
      <c r="O95" s="55">
        <f t="shared" si="1"/>
        <v>16795</v>
      </c>
      <c r="P95" s="11" t="s">
        <v>73</v>
      </c>
      <c r="Q95" s="43" t="s">
        <v>393</v>
      </c>
      <c r="R95" s="5">
        <v>25447696</v>
      </c>
      <c r="S95" s="5" t="s">
        <v>394</v>
      </c>
      <c r="T95" s="11" t="s">
        <v>538</v>
      </c>
      <c r="U95" s="11" t="s">
        <v>37</v>
      </c>
    </row>
    <row r="96" spans="1:21" s="1" customFormat="1" ht="26.4" x14ac:dyDescent="0.3">
      <c r="A96" s="11" t="s">
        <v>150</v>
      </c>
      <c r="B96" s="11" t="s">
        <v>151</v>
      </c>
      <c r="C96" s="11" t="s">
        <v>37</v>
      </c>
      <c r="D96" s="5" t="s">
        <v>22</v>
      </c>
      <c r="E96" s="11">
        <v>1</v>
      </c>
      <c r="F96" s="11" t="s">
        <v>37</v>
      </c>
      <c r="G96" s="11" t="s">
        <v>23</v>
      </c>
      <c r="H96" s="11" t="s">
        <v>24</v>
      </c>
      <c r="I96" s="11" t="s">
        <v>25</v>
      </c>
      <c r="J96" s="11" t="s">
        <v>26</v>
      </c>
      <c r="K96" s="11" t="s">
        <v>37</v>
      </c>
      <c r="L96" s="11" t="s">
        <v>37</v>
      </c>
      <c r="M96" s="11" t="s">
        <v>37</v>
      </c>
      <c r="N96" s="11">
        <v>0</v>
      </c>
      <c r="O96" s="55">
        <f t="shared" si="1"/>
        <v>0</v>
      </c>
      <c r="P96" s="11" t="s">
        <v>73</v>
      </c>
      <c r="Q96" s="11" t="s">
        <v>37</v>
      </c>
      <c r="R96" s="11" t="s">
        <v>37</v>
      </c>
      <c r="S96" s="11" t="s">
        <v>37</v>
      </c>
      <c r="T96" s="11" t="s">
        <v>37</v>
      </c>
      <c r="U96" s="11" t="s">
        <v>37</v>
      </c>
    </row>
    <row r="97" spans="1:21" s="1" customFormat="1" ht="26.4" x14ac:dyDescent="0.3">
      <c r="A97" s="11" t="s">
        <v>152</v>
      </c>
      <c r="B97" s="11" t="s">
        <v>153</v>
      </c>
      <c r="C97" s="11" t="s">
        <v>37</v>
      </c>
      <c r="D97" s="5" t="s">
        <v>22</v>
      </c>
      <c r="E97" s="11">
        <v>1</v>
      </c>
      <c r="F97" s="11" t="s">
        <v>37</v>
      </c>
      <c r="G97" s="11" t="s">
        <v>23</v>
      </c>
      <c r="H97" s="11" t="s">
        <v>24</v>
      </c>
      <c r="I97" s="11" t="s">
        <v>25</v>
      </c>
      <c r="J97" s="11" t="s">
        <v>26</v>
      </c>
      <c r="K97" s="11" t="s">
        <v>37</v>
      </c>
      <c r="L97" s="11" t="s">
        <v>37</v>
      </c>
      <c r="M97" s="11" t="s">
        <v>37</v>
      </c>
      <c r="N97" s="11">
        <v>0</v>
      </c>
      <c r="O97" s="55">
        <f t="shared" si="1"/>
        <v>0</v>
      </c>
      <c r="P97" s="11" t="s">
        <v>73</v>
      </c>
      <c r="Q97" s="11" t="s">
        <v>37</v>
      </c>
      <c r="R97" s="11" t="s">
        <v>37</v>
      </c>
      <c r="S97" s="11" t="s">
        <v>37</v>
      </c>
      <c r="T97" s="11" t="s">
        <v>37</v>
      </c>
      <c r="U97" s="11" t="s">
        <v>37</v>
      </c>
    </row>
    <row r="98" spans="1:21" s="1" customFormat="1" ht="14.4" x14ac:dyDescent="0.3">
      <c r="A98" s="11" t="s">
        <v>154</v>
      </c>
      <c r="B98" s="11" t="s">
        <v>155</v>
      </c>
      <c r="C98" s="11" t="s">
        <v>37</v>
      </c>
      <c r="D98" s="11" t="s">
        <v>49</v>
      </c>
      <c r="E98" s="11">
        <v>1</v>
      </c>
      <c r="F98" s="11" t="s">
        <v>37</v>
      </c>
      <c r="G98" s="11" t="s">
        <v>23</v>
      </c>
      <c r="H98" s="11" t="s">
        <v>24</v>
      </c>
      <c r="I98" s="11" t="s">
        <v>25</v>
      </c>
      <c r="J98" s="11" t="s">
        <v>26</v>
      </c>
      <c r="K98" s="11" t="s">
        <v>37</v>
      </c>
      <c r="L98" s="50">
        <v>46073</v>
      </c>
      <c r="M98" s="11" t="s">
        <v>37</v>
      </c>
      <c r="N98" s="11">
        <v>0</v>
      </c>
      <c r="O98" s="55">
        <f t="shared" si="1"/>
        <v>0</v>
      </c>
      <c r="P98" s="11" t="s">
        <v>1170</v>
      </c>
      <c r="Q98" s="75" t="s">
        <v>37</v>
      </c>
      <c r="R98" s="75" t="s">
        <v>37</v>
      </c>
      <c r="S98" s="75" t="s">
        <v>37</v>
      </c>
      <c r="T98" s="11" t="s">
        <v>37</v>
      </c>
      <c r="U98" s="11" t="s">
        <v>37</v>
      </c>
    </row>
    <row r="99" spans="1:21" s="1" customFormat="1" ht="14.4" x14ac:dyDescent="0.3">
      <c r="A99" s="11" t="s">
        <v>156</v>
      </c>
      <c r="B99" s="11" t="s">
        <v>157</v>
      </c>
      <c r="C99" s="11" t="s">
        <v>37</v>
      </c>
      <c r="D99" s="11" t="s">
        <v>49</v>
      </c>
      <c r="E99" s="11">
        <v>1</v>
      </c>
      <c r="F99" s="11" t="s">
        <v>37</v>
      </c>
      <c r="G99" s="11" t="s">
        <v>23</v>
      </c>
      <c r="H99" s="11" t="s">
        <v>24</v>
      </c>
      <c r="I99" s="11" t="s">
        <v>25</v>
      </c>
      <c r="J99" s="11" t="s">
        <v>26</v>
      </c>
      <c r="K99" s="11" t="s">
        <v>37</v>
      </c>
      <c r="L99" s="50">
        <v>46073</v>
      </c>
      <c r="M99" s="5" t="s">
        <v>37</v>
      </c>
      <c r="N99" s="11">
        <v>0</v>
      </c>
      <c r="O99" s="55">
        <f t="shared" si="1"/>
        <v>0</v>
      </c>
      <c r="P99" s="11" t="s">
        <v>50</v>
      </c>
      <c r="Q99" s="11" t="s">
        <v>37</v>
      </c>
      <c r="R99" s="11" t="s">
        <v>37</v>
      </c>
      <c r="S99" s="11" t="s">
        <v>37</v>
      </c>
      <c r="T99" s="11"/>
      <c r="U99" s="11" t="s">
        <v>37</v>
      </c>
    </row>
    <row r="100" spans="1:21" s="1" customFormat="1" ht="14.4" x14ac:dyDescent="0.3">
      <c r="A100" s="11" t="s">
        <v>158</v>
      </c>
      <c r="B100" s="11" t="s">
        <v>159</v>
      </c>
      <c r="C100" s="11" t="s">
        <v>37</v>
      </c>
      <c r="D100" s="11" t="s">
        <v>49</v>
      </c>
      <c r="E100" s="11">
        <v>1</v>
      </c>
      <c r="F100" s="11" t="s">
        <v>37</v>
      </c>
      <c r="G100" s="11" t="s">
        <v>23</v>
      </c>
      <c r="H100" s="11" t="s">
        <v>24</v>
      </c>
      <c r="I100" s="11" t="s">
        <v>25</v>
      </c>
      <c r="J100" s="11" t="s">
        <v>26</v>
      </c>
      <c r="K100" s="11" t="s">
        <v>37</v>
      </c>
      <c r="L100" s="50">
        <v>46073</v>
      </c>
      <c r="M100" s="11" t="s">
        <v>37</v>
      </c>
      <c r="N100" s="11">
        <v>0</v>
      </c>
      <c r="O100" s="55">
        <f t="shared" si="1"/>
        <v>0</v>
      </c>
      <c r="P100" s="11" t="s">
        <v>1170</v>
      </c>
      <c r="Q100" s="11" t="s">
        <v>37</v>
      </c>
      <c r="R100" s="11" t="s">
        <v>37</v>
      </c>
      <c r="S100" s="11" t="s">
        <v>37</v>
      </c>
      <c r="T100" s="11" t="s">
        <v>37</v>
      </c>
      <c r="U100" s="11" t="s">
        <v>37</v>
      </c>
    </row>
    <row r="101" spans="1:21" s="1" customFormat="1" ht="14.4" x14ac:dyDescent="0.3">
      <c r="A101" s="11" t="s">
        <v>160</v>
      </c>
      <c r="B101" s="11" t="s">
        <v>161</v>
      </c>
      <c r="C101" s="11" t="s">
        <v>37</v>
      </c>
      <c r="D101" s="11" t="s">
        <v>49</v>
      </c>
      <c r="E101" s="11">
        <v>1</v>
      </c>
      <c r="F101" s="11" t="s">
        <v>37</v>
      </c>
      <c r="G101" s="11" t="s">
        <v>23</v>
      </c>
      <c r="H101" s="11" t="s">
        <v>24</v>
      </c>
      <c r="I101" s="11" t="s">
        <v>25</v>
      </c>
      <c r="J101" s="11" t="s">
        <v>26</v>
      </c>
      <c r="K101" s="11" t="s">
        <v>37</v>
      </c>
      <c r="L101" s="50">
        <v>46073</v>
      </c>
      <c r="M101" s="11" t="s">
        <v>37</v>
      </c>
      <c r="N101" s="11">
        <v>0</v>
      </c>
      <c r="O101" s="55">
        <f t="shared" si="1"/>
        <v>0</v>
      </c>
      <c r="P101" s="11" t="s">
        <v>1170</v>
      </c>
      <c r="Q101" s="11" t="s">
        <v>37</v>
      </c>
      <c r="R101" s="11" t="s">
        <v>37</v>
      </c>
      <c r="S101" s="11" t="s">
        <v>37</v>
      </c>
      <c r="T101" s="11" t="s">
        <v>37</v>
      </c>
      <c r="U101" s="11" t="s">
        <v>37</v>
      </c>
    </row>
    <row r="102" spans="1:21" s="1" customFormat="1" ht="14.4" x14ac:dyDescent="0.3">
      <c r="A102" s="11" t="s">
        <v>162</v>
      </c>
      <c r="B102" s="11" t="s">
        <v>163</v>
      </c>
      <c r="C102" s="11" t="s">
        <v>37</v>
      </c>
      <c r="D102" s="11" t="s">
        <v>49</v>
      </c>
      <c r="E102" s="11">
        <v>1</v>
      </c>
      <c r="F102" s="11" t="s">
        <v>37</v>
      </c>
      <c r="G102" s="11" t="s">
        <v>23</v>
      </c>
      <c r="H102" s="11" t="s">
        <v>24</v>
      </c>
      <c r="I102" s="11" t="s">
        <v>25</v>
      </c>
      <c r="J102" s="11" t="s">
        <v>26</v>
      </c>
      <c r="K102" s="11" t="s">
        <v>37</v>
      </c>
      <c r="L102" s="50">
        <v>46073</v>
      </c>
      <c r="M102" s="11"/>
      <c r="N102" s="11">
        <v>0</v>
      </c>
      <c r="O102" s="55">
        <f t="shared" si="1"/>
        <v>0</v>
      </c>
      <c r="P102" s="11" t="s">
        <v>1170</v>
      </c>
      <c r="Q102" s="11" t="s">
        <v>37</v>
      </c>
      <c r="R102" s="11" t="s">
        <v>37</v>
      </c>
      <c r="S102" s="11" t="s">
        <v>37</v>
      </c>
      <c r="T102" s="11"/>
      <c r="U102" s="11" t="s">
        <v>37</v>
      </c>
    </row>
    <row r="103" spans="1:21" s="1" customFormat="1" ht="14.4" x14ac:dyDescent="0.3">
      <c r="A103" s="11" t="s">
        <v>164</v>
      </c>
      <c r="B103" s="11" t="s">
        <v>165</v>
      </c>
      <c r="C103" s="11" t="s">
        <v>37</v>
      </c>
      <c r="D103" s="11" t="s">
        <v>49</v>
      </c>
      <c r="E103" s="11">
        <v>1</v>
      </c>
      <c r="F103" s="11" t="s">
        <v>37</v>
      </c>
      <c r="G103" s="11" t="s">
        <v>23</v>
      </c>
      <c r="H103" s="11" t="s">
        <v>24</v>
      </c>
      <c r="I103" s="11" t="s">
        <v>25</v>
      </c>
      <c r="J103" s="11" t="s">
        <v>26</v>
      </c>
      <c r="K103" s="11" t="s">
        <v>37</v>
      </c>
      <c r="L103" s="50">
        <v>46073</v>
      </c>
      <c r="M103" s="11"/>
      <c r="N103" s="11">
        <v>0</v>
      </c>
      <c r="O103" s="55">
        <f t="shared" si="1"/>
        <v>0</v>
      </c>
      <c r="P103" s="11" t="s">
        <v>1170</v>
      </c>
      <c r="Q103" s="11" t="s">
        <v>37</v>
      </c>
      <c r="R103" s="11" t="s">
        <v>37</v>
      </c>
      <c r="S103" s="11" t="s">
        <v>37</v>
      </c>
      <c r="T103" s="11"/>
      <c r="U103" s="11" t="s">
        <v>37</v>
      </c>
    </row>
    <row r="104" spans="1:21" s="1" customFormat="1" ht="14.4" x14ac:dyDescent="0.3">
      <c r="A104" s="11" t="s">
        <v>166</v>
      </c>
      <c r="B104" s="11" t="s">
        <v>167</v>
      </c>
      <c r="C104" s="11" t="s">
        <v>37</v>
      </c>
      <c r="D104" s="11" t="s">
        <v>49</v>
      </c>
      <c r="E104" s="11">
        <v>1</v>
      </c>
      <c r="F104" s="11" t="s">
        <v>37</v>
      </c>
      <c r="G104" s="11" t="s">
        <v>23</v>
      </c>
      <c r="H104" s="11" t="s">
        <v>24</v>
      </c>
      <c r="I104" s="11" t="s">
        <v>25</v>
      </c>
      <c r="J104" s="11" t="s">
        <v>26</v>
      </c>
      <c r="K104" s="11" t="s">
        <v>37</v>
      </c>
      <c r="L104" s="50">
        <v>46073</v>
      </c>
      <c r="M104" s="11"/>
      <c r="N104" s="11">
        <v>0</v>
      </c>
      <c r="O104" s="55">
        <f t="shared" si="1"/>
        <v>0</v>
      </c>
      <c r="P104" s="11" t="s">
        <v>1170</v>
      </c>
      <c r="Q104" s="11" t="s">
        <v>37</v>
      </c>
      <c r="R104" s="11" t="s">
        <v>37</v>
      </c>
      <c r="S104" s="11" t="s">
        <v>37</v>
      </c>
      <c r="T104" s="11"/>
      <c r="U104" s="11" t="s">
        <v>37</v>
      </c>
    </row>
    <row r="105" spans="1:21" s="1" customFormat="1" ht="26.4" x14ac:dyDescent="0.3">
      <c r="A105" s="11" t="s">
        <v>168</v>
      </c>
      <c r="B105" s="11" t="s">
        <v>169</v>
      </c>
      <c r="C105" s="11" t="s">
        <v>37</v>
      </c>
      <c r="D105" s="5" t="s">
        <v>22</v>
      </c>
      <c r="E105" s="11">
        <v>1</v>
      </c>
      <c r="F105" s="11" t="s">
        <v>1105</v>
      </c>
      <c r="G105" s="11" t="s">
        <v>23</v>
      </c>
      <c r="H105" s="11" t="s">
        <v>24</v>
      </c>
      <c r="I105" s="11" t="s">
        <v>25</v>
      </c>
      <c r="J105" s="11" t="s">
        <v>26</v>
      </c>
      <c r="K105" s="50">
        <v>43495</v>
      </c>
      <c r="L105" s="50">
        <v>46071</v>
      </c>
      <c r="M105" s="5" t="s">
        <v>1125</v>
      </c>
      <c r="N105" s="11">
        <v>16795</v>
      </c>
      <c r="O105" s="55">
        <f t="shared" si="1"/>
        <v>16795</v>
      </c>
      <c r="P105" s="11" t="s">
        <v>73</v>
      </c>
      <c r="Q105" s="43" t="s">
        <v>393</v>
      </c>
      <c r="R105" s="5">
        <v>25447696</v>
      </c>
      <c r="S105" s="5" t="s">
        <v>394</v>
      </c>
      <c r="T105" s="11" t="s">
        <v>538</v>
      </c>
      <c r="U105" s="11" t="s">
        <v>37</v>
      </c>
    </row>
    <row r="106" spans="1:21" s="1" customFormat="1" ht="26.4" x14ac:dyDescent="0.3">
      <c r="A106" s="11" t="s">
        <v>170</v>
      </c>
      <c r="B106" s="11" t="s">
        <v>169</v>
      </c>
      <c r="C106" s="11" t="s">
        <v>37</v>
      </c>
      <c r="D106" s="5" t="s">
        <v>22</v>
      </c>
      <c r="E106" s="11">
        <v>1</v>
      </c>
      <c r="F106" s="11" t="s">
        <v>1105</v>
      </c>
      <c r="G106" s="11" t="s">
        <v>23</v>
      </c>
      <c r="H106" s="11" t="s">
        <v>24</v>
      </c>
      <c r="I106" s="11" t="s">
        <v>25</v>
      </c>
      <c r="J106" s="11" t="s">
        <v>26</v>
      </c>
      <c r="K106" s="50">
        <v>43495</v>
      </c>
      <c r="L106" s="50">
        <v>46071</v>
      </c>
      <c r="M106" s="5" t="s">
        <v>1125</v>
      </c>
      <c r="N106" s="11">
        <v>16795</v>
      </c>
      <c r="O106" s="55">
        <f t="shared" si="1"/>
        <v>16795</v>
      </c>
      <c r="P106" s="11" t="s">
        <v>73</v>
      </c>
      <c r="Q106" s="43" t="s">
        <v>393</v>
      </c>
      <c r="R106" s="5">
        <v>25447696</v>
      </c>
      <c r="S106" s="5" t="s">
        <v>394</v>
      </c>
      <c r="T106" s="11" t="s">
        <v>538</v>
      </c>
      <c r="U106" s="11" t="s">
        <v>37</v>
      </c>
    </row>
    <row r="107" spans="1:21" s="1" customFormat="1" ht="26.4" x14ac:dyDescent="0.3">
      <c r="A107" s="11" t="s">
        <v>171</v>
      </c>
      <c r="B107" s="11" t="s">
        <v>169</v>
      </c>
      <c r="C107" s="11" t="s">
        <v>37</v>
      </c>
      <c r="D107" s="5" t="s">
        <v>22</v>
      </c>
      <c r="E107" s="11">
        <v>1</v>
      </c>
      <c r="F107" s="11" t="s">
        <v>1105</v>
      </c>
      <c r="G107" s="11" t="s">
        <v>23</v>
      </c>
      <c r="H107" s="11" t="s">
        <v>24</v>
      </c>
      <c r="I107" s="11" t="s">
        <v>25</v>
      </c>
      <c r="J107" s="11" t="s">
        <v>26</v>
      </c>
      <c r="K107" s="50">
        <v>43495</v>
      </c>
      <c r="L107" s="50">
        <v>46071</v>
      </c>
      <c r="M107" s="5" t="s">
        <v>1125</v>
      </c>
      <c r="N107" s="11">
        <v>16795</v>
      </c>
      <c r="O107" s="55">
        <f t="shared" si="1"/>
        <v>16795</v>
      </c>
      <c r="P107" s="11" t="s">
        <v>73</v>
      </c>
      <c r="Q107" s="43" t="s">
        <v>393</v>
      </c>
      <c r="R107" s="5">
        <v>25447696</v>
      </c>
      <c r="S107" s="5" t="s">
        <v>394</v>
      </c>
      <c r="T107" s="11" t="s">
        <v>538</v>
      </c>
      <c r="U107" s="11" t="s">
        <v>37</v>
      </c>
    </row>
    <row r="108" spans="1:21" s="1" customFormat="1" ht="14.4" x14ac:dyDescent="0.3">
      <c r="A108" s="11" t="s">
        <v>172</v>
      </c>
      <c r="B108" s="11" t="s">
        <v>173</v>
      </c>
      <c r="C108" s="11" t="s">
        <v>37</v>
      </c>
      <c r="D108" s="11" t="s">
        <v>49</v>
      </c>
      <c r="E108" s="11">
        <v>1</v>
      </c>
      <c r="F108" s="11" t="s">
        <v>37</v>
      </c>
      <c r="G108" s="11" t="s">
        <v>23</v>
      </c>
      <c r="H108" s="11" t="s">
        <v>24</v>
      </c>
      <c r="I108" s="11" t="s">
        <v>25</v>
      </c>
      <c r="J108" s="11" t="s">
        <v>26</v>
      </c>
      <c r="K108" s="11" t="s">
        <v>37</v>
      </c>
      <c r="L108" s="50">
        <v>46073</v>
      </c>
      <c r="M108" s="11"/>
      <c r="N108" s="11">
        <v>0</v>
      </c>
      <c r="O108" s="55">
        <f t="shared" si="1"/>
        <v>0</v>
      </c>
      <c r="P108" s="11" t="s">
        <v>1170</v>
      </c>
      <c r="Q108" s="11" t="s">
        <v>37</v>
      </c>
      <c r="R108" s="11" t="s">
        <v>37</v>
      </c>
      <c r="S108" s="11" t="s">
        <v>37</v>
      </c>
      <c r="T108" s="11"/>
      <c r="U108" s="11" t="s">
        <v>37</v>
      </c>
    </row>
    <row r="109" spans="1:21" s="1" customFormat="1" ht="26.4" x14ac:dyDescent="0.3">
      <c r="A109" s="11" t="s">
        <v>174</v>
      </c>
      <c r="B109" s="11" t="s">
        <v>175</v>
      </c>
      <c r="C109" s="11" t="s">
        <v>1155</v>
      </c>
      <c r="D109" s="5" t="s">
        <v>22</v>
      </c>
      <c r="E109" s="11">
        <v>1</v>
      </c>
      <c r="F109" s="11" t="s">
        <v>1105</v>
      </c>
      <c r="G109" s="11" t="s">
        <v>23</v>
      </c>
      <c r="H109" s="11" t="s">
        <v>24</v>
      </c>
      <c r="I109" s="11" t="s">
        <v>25</v>
      </c>
      <c r="J109" s="11" t="s">
        <v>26</v>
      </c>
      <c r="K109" s="50">
        <v>43910</v>
      </c>
      <c r="L109" s="50">
        <v>46076</v>
      </c>
      <c r="M109" s="5" t="s">
        <v>1187</v>
      </c>
      <c r="N109" s="11">
        <v>210519</v>
      </c>
      <c r="O109" s="55">
        <f t="shared" si="1"/>
        <v>210519</v>
      </c>
      <c r="P109" s="5" t="s">
        <v>73</v>
      </c>
      <c r="Q109" s="43" t="s">
        <v>393</v>
      </c>
      <c r="R109" s="5">
        <v>25447696</v>
      </c>
      <c r="S109" s="5" t="s">
        <v>394</v>
      </c>
      <c r="T109" s="11"/>
      <c r="U109" s="11" t="s">
        <v>37</v>
      </c>
    </row>
    <row r="110" spans="1:21" s="1" customFormat="1" ht="26.4" x14ac:dyDescent="0.3">
      <c r="A110" s="11" t="s">
        <v>177</v>
      </c>
      <c r="B110" s="11" t="s">
        <v>178</v>
      </c>
      <c r="C110" s="11" t="s">
        <v>1155</v>
      </c>
      <c r="D110" s="5" t="s">
        <v>22</v>
      </c>
      <c r="E110" s="11">
        <v>1</v>
      </c>
      <c r="F110" s="11" t="s">
        <v>1105</v>
      </c>
      <c r="G110" s="11" t="s">
        <v>23</v>
      </c>
      <c r="H110" s="11" t="s">
        <v>24</v>
      </c>
      <c r="I110" s="5" t="s">
        <v>25</v>
      </c>
      <c r="J110" s="11" t="s">
        <v>26</v>
      </c>
      <c r="K110" s="50">
        <v>43910</v>
      </c>
      <c r="L110" s="50">
        <v>46076</v>
      </c>
      <c r="M110" s="5" t="s">
        <v>1187</v>
      </c>
      <c r="N110" s="11">
        <v>210519</v>
      </c>
      <c r="O110" s="55">
        <f t="shared" si="1"/>
        <v>210519</v>
      </c>
      <c r="P110" s="5" t="s">
        <v>73</v>
      </c>
      <c r="Q110" s="43" t="s">
        <v>393</v>
      </c>
      <c r="R110" s="5">
        <v>25447696</v>
      </c>
      <c r="S110" s="5" t="s">
        <v>394</v>
      </c>
      <c r="T110" s="11" t="s">
        <v>58</v>
      </c>
      <c r="U110" s="11" t="s">
        <v>37</v>
      </c>
    </row>
    <row r="111" spans="1:21" s="1" customFormat="1" ht="26.4" x14ac:dyDescent="0.3">
      <c r="A111" s="11" t="s">
        <v>179</v>
      </c>
      <c r="B111" s="11" t="s">
        <v>180</v>
      </c>
      <c r="C111" s="11" t="s">
        <v>176</v>
      </c>
      <c r="D111" s="5" t="s">
        <v>22</v>
      </c>
      <c r="E111" s="11">
        <v>1</v>
      </c>
      <c r="F111" s="11" t="s">
        <v>28</v>
      </c>
      <c r="G111" s="11" t="s">
        <v>23</v>
      </c>
      <c r="H111" s="11" t="s">
        <v>24</v>
      </c>
      <c r="I111" s="11" t="s">
        <v>25</v>
      </c>
      <c r="J111" s="11" t="s">
        <v>26</v>
      </c>
      <c r="K111" s="50">
        <v>45016</v>
      </c>
      <c r="L111" s="50">
        <v>46065</v>
      </c>
      <c r="M111" s="11" t="s">
        <v>29</v>
      </c>
      <c r="N111" s="11">
        <v>91631</v>
      </c>
      <c r="O111" s="55">
        <f t="shared" si="1"/>
        <v>91631</v>
      </c>
      <c r="P111" s="31" t="s">
        <v>73</v>
      </c>
      <c r="Q111" s="47" t="s">
        <v>30</v>
      </c>
      <c r="R111" s="31">
        <v>9594357635</v>
      </c>
      <c r="S111" s="31" t="s">
        <v>31</v>
      </c>
      <c r="T111" s="11" t="s">
        <v>32</v>
      </c>
      <c r="U111" s="11" t="s">
        <v>37</v>
      </c>
    </row>
    <row r="112" spans="1:21" s="1" customFormat="1" ht="26.4" x14ac:dyDescent="0.3">
      <c r="A112" s="11" t="s">
        <v>181</v>
      </c>
      <c r="B112" s="11" t="s">
        <v>182</v>
      </c>
      <c r="C112" s="11" t="s">
        <v>176</v>
      </c>
      <c r="D112" s="5" t="s">
        <v>22</v>
      </c>
      <c r="E112" s="11">
        <v>1</v>
      </c>
      <c r="F112" s="11" t="s">
        <v>28</v>
      </c>
      <c r="G112" s="11" t="s">
        <v>23</v>
      </c>
      <c r="H112" s="11" t="s">
        <v>24</v>
      </c>
      <c r="I112" s="11" t="s">
        <v>25</v>
      </c>
      <c r="J112" s="11" t="s">
        <v>26</v>
      </c>
      <c r="K112" s="50">
        <v>45016</v>
      </c>
      <c r="L112" s="50">
        <v>46065</v>
      </c>
      <c r="M112" s="11" t="s">
        <v>29</v>
      </c>
      <c r="N112" s="11">
        <v>122175</v>
      </c>
      <c r="O112" s="55">
        <f t="shared" si="1"/>
        <v>122175</v>
      </c>
      <c r="P112" s="31" t="s">
        <v>73</v>
      </c>
      <c r="Q112" s="47" t="s">
        <v>30</v>
      </c>
      <c r="R112" s="31">
        <v>9594357635</v>
      </c>
      <c r="S112" s="31" t="s">
        <v>31</v>
      </c>
      <c r="T112" s="11" t="s">
        <v>32</v>
      </c>
      <c r="U112" s="11" t="s">
        <v>37</v>
      </c>
    </row>
    <row r="113" spans="1:21" s="1" customFormat="1" ht="26.4" x14ac:dyDescent="0.3">
      <c r="A113" s="11" t="s">
        <v>183</v>
      </c>
      <c r="B113" s="11" t="s">
        <v>184</v>
      </c>
      <c r="C113" s="11" t="s">
        <v>185</v>
      </c>
      <c r="D113" s="5" t="s">
        <v>22</v>
      </c>
      <c r="E113" s="11">
        <v>1</v>
      </c>
      <c r="F113" s="11" t="s">
        <v>28</v>
      </c>
      <c r="G113" s="11" t="s">
        <v>23</v>
      </c>
      <c r="H113" s="11" t="s">
        <v>24</v>
      </c>
      <c r="I113" s="11" t="s">
        <v>25</v>
      </c>
      <c r="J113" s="11" t="s">
        <v>26</v>
      </c>
      <c r="K113" s="50">
        <v>45374</v>
      </c>
      <c r="L113" s="50">
        <v>46065</v>
      </c>
      <c r="M113" s="11" t="s">
        <v>40</v>
      </c>
      <c r="N113" s="11">
        <v>147197</v>
      </c>
      <c r="O113" s="55">
        <f t="shared" si="1"/>
        <v>147197</v>
      </c>
      <c r="P113" s="31" t="s">
        <v>73</v>
      </c>
      <c r="Q113" s="43" t="s">
        <v>30</v>
      </c>
      <c r="R113" s="5">
        <v>9594357635</v>
      </c>
      <c r="S113" s="5" t="s">
        <v>1116</v>
      </c>
      <c r="T113" s="11" t="s">
        <v>41</v>
      </c>
      <c r="U113" s="11" t="s">
        <v>37</v>
      </c>
    </row>
    <row r="114" spans="1:21" s="1" customFormat="1" ht="26.4" x14ac:dyDescent="0.3">
      <c r="A114" s="11" t="s">
        <v>186</v>
      </c>
      <c r="B114" s="11" t="s">
        <v>187</v>
      </c>
      <c r="C114" s="11" t="s">
        <v>185</v>
      </c>
      <c r="D114" s="5" t="s">
        <v>22</v>
      </c>
      <c r="E114" s="11">
        <v>1</v>
      </c>
      <c r="F114" s="11" t="s">
        <v>28</v>
      </c>
      <c r="G114" s="11" t="s">
        <v>23</v>
      </c>
      <c r="H114" s="11" t="s">
        <v>24</v>
      </c>
      <c r="I114" s="11" t="s">
        <v>25</v>
      </c>
      <c r="J114" s="11" t="s">
        <v>26</v>
      </c>
      <c r="K114" s="50">
        <v>45374</v>
      </c>
      <c r="L114" s="50">
        <v>46065</v>
      </c>
      <c r="M114" s="11" t="s">
        <v>40</v>
      </c>
      <c r="N114" s="11">
        <v>147197</v>
      </c>
      <c r="O114" s="55">
        <f t="shared" si="1"/>
        <v>147197</v>
      </c>
      <c r="P114" s="31" t="s">
        <v>73</v>
      </c>
      <c r="Q114" s="43" t="s">
        <v>30</v>
      </c>
      <c r="R114" s="5">
        <v>9594357635</v>
      </c>
      <c r="S114" s="5" t="s">
        <v>1116</v>
      </c>
      <c r="T114" s="11" t="s">
        <v>41</v>
      </c>
      <c r="U114" s="11" t="s">
        <v>37</v>
      </c>
    </row>
    <row r="115" spans="1:21" s="1" customFormat="1" ht="26.4" x14ac:dyDescent="0.3">
      <c r="A115" s="11" t="s">
        <v>188</v>
      </c>
      <c r="B115" s="11" t="s">
        <v>189</v>
      </c>
      <c r="C115" s="11" t="s">
        <v>185</v>
      </c>
      <c r="D115" s="5" t="s">
        <v>22</v>
      </c>
      <c r="E115" s="11">
        <v>1</v>
      </c>
      <c r="F115" s="11" t="s">
        <v>37</v>
      </c>
      <c r="G115" s="11" t="s">
        <v>23</v>
      </c>
      <c r="H115" s="11" t="s">
        <v>24</v>
      </c>
      <c r="I115" s="11" t="s">
        <v>25</v>
      </c>
      <c r="J115" s="11" t="s">
        <v>26</v>
      </c>
      <c r="K115" s="50">
        <v>25569</v>
      </c>
      <c r="L115" s="50">
        <v>46065</v>
      </c>
      <c r="M115" s="11" t="s">
        <v>37</v>
      </c>
      <c r="N115" s="11">
        <v>0</v>
      </c>
      <c r="O115" s="55">
        <f t="shared" si="1"/>
        <v>0</v>
      </c>
      <c r="P115" s="31" t="s">
        <v>73</v>
      </c>
      <c r="Q115" s="11" t="s">
        <v>37</v>
      </c>
      <c r="R115" s="11" t="s">
        <v>37</v>
      </c>
      <c r="S115" s="11" t="s">
        <v>37</v>
      </c>
      <c r="T115" s="11" t="s">
        <v>37</v>
      </c>
      <c r="U115" s="11" t="s">
        <v>37</v>
      </c>
    </row>
    <row r="116" spans="1:21" s="1" customFormat="1" ht="26.4" x14ac:dyDescent="0.3">
      <c r="A116" s="11" t="s">
        <v>190</v>
      </c>
      <c r="B116" s="11" t="s">
        <v>191</v>
      </c>
      <c r="C116" s="11" t="s">
        <v>176</v>
      </c>
      <c r="D116" s="5" t="s">
        <v>22</v>
      </c>
      <c r="E116" s="11">
        <v>1</v>
      </c>
      <c r="F116" s="11" t="s">
        <v>37</v>
      </c>
      <c r="G116" s="11" t="s">
        <v>23</v>
      </c>
      <c r="H116" s="11" t="s">
        <v>24</v>
      </c>
      <c r="I116" s="11" t="s">
        <v>25</v>
      </c>
      <c r="J116" s="11" t="s">
        <v>26</v>
      </c>
      <c r="K116" s="50">
        <v>25569</v>
      </c>
      <c r="L116" s="50">
        <v>46065</v>
      </c>
      <c r="M116" s="11" t="s">
        <v>37</v>
      </c>
      <c r="N116" s="11">
        <v>0</v>
      </c>
      <c r="O116" s="55">
        <f t="shared" si="1"/>
        <v>0</v>
      </c>
      <c r="P116" s="31" t="s">
        <v>73</v>
      </c>
      <c r="Q116" s="11" t="s">
        <v>37</v>
      </c>
      <c r="R116" s="11" t="s">
        <v>37</v>
      </c>
      <c r="S116" s="11" t="s">
        <v>37</v>
      </c>
      <c r="T116" s="11" t="s">
        <v>37</v>
      </c>
      <c r="U116" s="11" t="s">
        <v>37</v>
      </c>
    </row>
    <row r="117" spans="1:21" s="1" customFormat="1" ht="26.4" x14ac:dyDescent="0.3">
      <c r="A117" s="11" t="s">
        <v>192</v>
      </c>
      <c r="B117" s="11" t="s">
        <v>193</v>
      </c>
      <c r="C117" s="11" t="s">
        <v>176</v>
      </c>
      <c r="D117" s="5" t="s">
        <v>22</v>
      </c>
      <c r="E117" s="11">
        <v>1</v>
      </c>
      <c r="F117" s="11" t="s">
        <v>28</v>
      </c>
      <c r="G117" s="11" t="s">
        <v>23</v>
      </c>
      <c r="H117" s="11" t="s">
        <v>24</v>
      </c>
      <c r="I117" s="11" t="s">
        <v>25</v>
      </c>
      <c r="J117" s="11" t="s">
        <v>26</v>
      </c>
      <c r="K117" s="50">
        <v>45016</v>
      </c>
      <c r="L117" s="50">
        <v>46065</v>
      </c>
      <c r="M117" s="11" t="s">
        <v>29</v>
      </c>
      <c r="N117" s="11">
        <v>122175</v>
      </c>
      <c r="O117" s="55">
        <f t="shared" si="1"/>
        <v>122175</v>
      </c>
      <c r="P117" s="11" t="s">
        <v>73</v>
      </c>
      <c r="Q117" s="47" t="s">
        <v>30</v>
      </c>
      <c r="R117" s="31">
        <v>9594357635</v>
      </c>
      <c r="S117" s="31" t="s">
        <v>31</v>
      </c>
      <c r="T117" s="11" t="s">
        <v>32</v>
      </c>
      <c r="U117" s="11" t="s">
        <v>37</v>
      </c>
    </row>
    <row r="118" spans="1:21" s="1" customFormat="1" ht="26.4" x14ac:dyDescent="0.3">
      <c r="A118" s="11" t="s">
        <v>194</v>
      </c>
      <c r="B118" s="11" t="s">
        <v>195</v>
      </c>
      <c r="C118" s="11" t="s">
        <v>37</v>
      </c>
      <c r="D118" s="5" t="s">
        <v>22</v>
      </c>
      <c r="E118" s="11">
        <v>1</v>
      </c>
      <c r="F118" s="11" t="s">
        <v>1105</v>
      </c>
      <c r="G118" s="11" t="s">
        <v>23</v>
      </c>
      <c r="H118" s="11" t="s">
        <v>24</v>
      </c>
      <c r="I118" s="11" t="s">
        <v>25</v>
      </c>
      <c r="J118" s="11" t="s">
        <v>26</v>
      </c>
      <c r="K118" s="50">
        <v>43495</v>
      </c>
      <c r="L118" s="50">
        <v>46071</v>
      </c>
      <c r="M118" s="5" t="s">
        <v>1125</v>
      </c>
      <c r="N118" s="11">
        <f>1721*23</f>
        <v>39583</v>
      </c>
      <c r="O118" s="55">
        <f t="shared" si="1"/>
        <v>39583</v>
      </c>
      <c r="P118" s="11" t="s">
        <v>73</v>
      </c>
      <c r="Q118" s="43" t="s">
        <v>393</v>
      </c>
      <c r="R118" s="5">
        <v>25447696</v>
      </c>
      <c r="S118" s="5" t="s">
        <v>394</v>
      </c>
      <c r="T118" s="11" t="s">
        <v>538</v>
      </c>
      <c r="U118" s="73" t="s">
        <v>194</v>
      </c>
    </row>
    <row r="119" spans="1:21" s="1" customFormat="1" ht="26.4" x14ac:dyDescent="0.3">
      <c r="A119" s="11" t="s">
        <v>196</v>
      </c>
      <c r="B119" s="11" t="s">
        <v>195</v>
      </c>
      <c r="C119" s="11" t="s">
        <v>37</v>
      </c>
      <c r="D119" s="5" t="s">
        <v>22</v>
      </c>
      <c r="E119" s="11">
        <v>1</v>
      </c>
      <c r="F119" s="11" t="s">
        <v>1105</v>
      </c>
      <c r="G119" s="11" t="s">
        <v>23</v>
      </c>
      <c r="H119" s="11" t="s">
        <v>24</v>
      </c>
      <c r="I119" s="5" t="s">
        <v>25</v>
      </c>
      <c r="J119" s="11" t="s">
        <v>26</v>
      </c>
      <c r="K119" s="50">
        <v>42975</v>
      </c>
      <c r="L119" s="50">
        <v>46071</v>
      </c>
      <c r="M119" s="5" t="s">
        <v>1106</v>
      </c>
      <c r="N119" s="11">
        <f>6581*22</f>
        <v>144782</v>
      </c>
      <c r="O119" s="55">
        <f t="shared" si="1"/>
        <v>144782</v>
      </c>
      <c r="P119" s="11" t="s">
        <v>73</v>
      </c>
      <c r="Q119" s="43" t="s">
        <v>393</v>
      </c>
      <c r="R119" s="5">
        <v>25447696</v>
      </c>
      <c r="S119" s="5" t="s">
        <v>394</v>
      </c>
      <c r="T119" s="11" t="s">
        <v>538</v>
      </c>
      <c r="U119" s="73" t="s">
        <v>196</v>
      </c>
    </row>
    <row r="120" spans="1:21" s="1" customFormat="1" ht="26.4" x14ac:dyDescent="0.3">
      <c r="A120" s="11" t="s">
        <v>197</v>
      </c>
      <c r="B120" s="11" t="s">
        <v>198</v>
      </c>
      <c r="C120" s="11" t="s">
        <v>199</v>
      </c>
      <c r="D120" s="5" t="s">
        <v>22</v>
      </c>
      <c r="E120" s="11">
        <v>1</v>
      </c>
      <c r="F120" s="11" t="s">
        <v>28</v>
      </c>
      <c r="G120" s="11" t="s">
        <v>23</v>
      </c>
      <c r="H120" s="11" t="s">
        <v>24</v>
      </c>
      <c r="I120" s="11" t="s">
        <v>25</v>
      </c>
      <c r="J120" s="11" t="s">
        <v>26</v>
      </c>
      <c r="K120" s="50">
        <v>45343</v>
      </c>
      <c r="L120" s="50">
        <v>46052</v>
      </c>
      <c r="M120" s="11" t="s">
        <v>40</v>
      </c>
      <c r="N120" s="11">
        <f>1085*20</f>
        <v>21700</v>
      </c>
      <c r="O120" s="55">
        <f t="shared" si="1"/>
        <v>21700</v>
      </c>
      <c r="P120" s="11" t="s">
        <v>73</v>
      </c>
      <c r="Q120" s="47" t="s">
        <v>30</v>
      </c>
      <c r="R120" s="31">
        <v>9594357635</v>
      </c>
      <c r="S120" s="31" t="s">
        <v>31</v>
      </c>
      <c r="T120" s="11" t="s">
        <v>41</v>
      </c>
      <c r="U120" s="73" t="s">
        <v>197</v>
      </c>
    </row>
    <row r="121" spans="1:21" s="1" customFormat="1" ht="26.4" x14ac:dyDescent="0.3">
      <c r="A121" s="11" t="s">
        <v>200</v>
      </c>
      <c r="B121" s="11" t="s">
        <v>195</v>
      </c>
      <c r="C121" s="11" t="s">
        <v>37</v>
      </c>
      <c r="D121" s="5" t="s">
        <v>22</v>
      </c>
      <c r="E121" s="11">
        <v>1</v>
      </c>
      <c r="F121" s="11" t="s">
        <v>28</v>
      </c>
      <c r="G121" s="11" t="s">
        <v>23</v>
      </c>
      <c r="H121" s="11" t="s">
        <v>24</v>
      </c>
      <c r="I121" s="11" t="s">
        <v>25</v>
      </c>
      <c r="J121" s="11" t="s">
        <v>26</v>
      </c>
      <c r="K121" s="50">
        <v>45016</v>
      </c>
      <c r="L121" s="50">
        <v>46065</v>
      </c>
      <c r="M121" s="11" t="s">
        <v>29</v>
      </c>
      <c r="N121" s="11">
        <v>76240</v>
      </c>
      <c r="O121" s="55">
        <f t="shared" si="1"/>
        <v>76240</v>
      </c>
      <c r="P121" s="11" t="s">
        <v>73</v>
      </c>
      <c r="Q121" s="47" t="s">
        <v>30</v>
      </c>
      <c r="R121" s="31">
        <v>9594357635</v>
      </c>
      <c r="S121" s="31" t="s">
        <v>31</v>
      </c>
      <c r="T121" s="11" t="s">
        <v>32</v>
      </c>
      <c r="U121" s="73" t="s">
        <v>200</v>
      </c>
    </row>
    <row r="122" spans="1:21" s="1" customFormat="1" ht="26.4" x14ac:dyDescent="0.3">
      <c r="A122" s="11" t="s">
        <v>201</v>
      </c>
      <c r="B122" s="11" t="s">
        <v>202</v>
      </c>
      <c r="C122" s="11" t="s">
        <v>199</v>
      </c>
      <c r="D122" s="5" t="s">
        <v>22</v>
      </c>
      <c r="E122" s="11">
        <v>1</v>
      </c>
      <c r="F122" s="11" t="s">
        <v>28</v>
      </c>
      <c r="G122" s="11" t="s">
        <v>23</v>
      </c>
      <c r="H122" s="11" t="s">
        <v>24</v>
      </c>
      <c r="I122" s="11" t="s">
        <v>25</v>
      </c>
      <c r="J122" s="11" t="s">
        <v>26</v>
      </c>
      <c r="K122" s="50">
        <v>45343</v>
      </c>
      <c r="L122" s="50">
        <v>46052</v>
      </c>
      <c r="M122" s="11" t="s">
        <v>40</v>
      </c>
      <c r="N122" s="11">
        <f>1085*20</f>
        <v>21700</v>
      </c>
      <c r="O122" s="55">
        <f t="shared" si="1"/>
        <v>21700</v>
      </c>
      <c r="P122" s="11" t="s">
        <v>73</v>
      </c>
      <c r="Q122" s="43" t="s">
        <v>30</v>
      </c>
      <c r="R122" s="5">
        <v>9594357635</v>
      </c>
      <c r="S122" s="5" t="s">
        <v>1116</v>
      </c>
      <c r="T122" s="11" t="s">
        <v>41</v>
      </c>
      <c r="U122" s="73" t="s">
        <v>201</v>
      </c>
    </row>
    <row r="123" spans="1:21" s="1" customFormat="1" ht="26.4" x14ac:dyDescent="0.3">
      <c r="A123" s="11" t="s">
        <v>203</v>
      </c>
      <c r="B123" s="11" t="s">
        <v>195</v>
      </c>
      <c r="C123" s="11" t="s">
        <v>37</v>
      </c>
      <c r="D123" s="5" t="s">
        <v>22</v>
      </c>
      <c r="E123" s="11">
        <v>1</v>
      </c>
      <c r="F123" s="11" t="s">
        <v>28</v>
      </c>
      <c r="G123" s="11" t="s">
        <v>23</v>
      </c>
      <c r="H123" s="11" t="s">
        <v>24</v>
      </c>
      <c r="I123" s="11" t="s">
        <v>25</v>
      </c>
      <c r="J123" s="11" t="s">
        <v>26</v>
      </c>
      <c r="K123" s="50">
        <v>45016</v>
      </c>
      <c r="L123" s="50">
        <v>46069</v>
      </c>
      <c r="M123" s="5" t="s">
        <v>981</v>
      </c>
      <c r="N123" s="11">
        <v>76240</v>
      </c>
      <c r="O123" s="55">
        <f t="shared" si="1"/>
        <v>76240</v>
      </c>
      <c r="P123" s="11" t="s">
        <v>73</v>
      </c>
      <c r="Q123" s="43" t="s">
        <v>30</v>
      </c>
      <c r="R123" s="5">
        <v>9594357635</v>
      </c>
      <c r="S123" s="5" t="s">
        <v>1116</v>
      </c>
      <c r="T123" s="11" t="s">
        <v>32</v>
      </c>
      <c r="U123" s="73" t="s">
        <v>203</v>
      </c>
    </row>
    <row r="124" spans="1:21" s="1" customFormat="1" ht="26.4" x14ac:dyDescent="0.3">
      <c r="A124" s="11" t="s">
        <v>204</v>
      </c>
      <c r="B124" s="11" t="s">
        <v>202</v>
      </c>
      <c r="C124" s="11" t="s">
        <v>37</v>
      </c>
      <c r="D124" s="5" t="s">
        <v>22</v>
      </c>
      <c r="E124" s="11">
        <v>1</v>
      </c>
      <c r="F124" s="11" t="s">
        <v>37</v>
      </c>
      <c r="G124" s="11" t="s">
        <v>23</v>
      </c>
      <c r="H124" s="11" t="s">
        <v>24</v>
      </c>
      <c r="I124" s="11" t="s">
        <v>25</v>
      </c>
      <c r="J124" s="11" t="s">
        <v>26</v>
      </c>
      <c r="K124" s="50">
        <v>25569</v>
      </c>
      <c r="L124" s="50">
        <v>46065</v>
      </c>
      <c r="M124" s="11" t="s">
        <v>37</v>
      </c>
      <c r="N124" s="11">
        <v>0</v>
      </c>
      <c r="O124" s="55">
        <f t="shared" si="1"/>
        <v>0</v>
      </c>
      <c r="P124" s="11" t="s">
        <v>73</v>
      </c>
      <c r="Q124" s="11" t="s">
        <v>37</v>
      </c>
      <c r="R124" s="11" t="s">
        <v>37</v>
      </c>
      <c r="S124" s="11" t="s">
        <v>37</v>
      </c>
      <c r="T124" s="11" t="s">
        <v>37</v>
      </c>
      <c r="U124" s="73" t="s">
        <v>204</v>
      </c>
    </row>
    <row r="125" spans="1:21" s="1" customFormat="1" ht="26.4" x14ac:dyDescent="0.3">
      <c r="A125" s="11" t="s">
        <v>205</v>
      </c>
      <c r="B125" s="11" t="s">
        <v>202</v>
      </c>
      <c r="C125" s="11" t="s">
        <v>37</v>
      </c>
      <c r="D125" s="5" t="s">
        <v>22</v>
      </c>
      <c r="E125" s="11">
        <v>1</v>
      </c>
      <c r="F125" s="11" t="s">
        <v>37</v>
      </c>
      <c r="G125" s="11" t="s">
        <v>23</v>
      </c>
      <c r="H125" s="11" t="s">
        <v>24</v>
      </c>
      <c r="I125" s="11" t="s">
        <v>25</v>
      </c>
      <c r="J125" s="11" t="s">
        <v>26</v>
      </c>
      <c r="K125" s="50">
        <v>25569</v>
      </c>
      <c r="L125" s="50">
        <v>46065</v>
      </c>
      <c r="M125" s="11" t="s">
        <v>37</v>
      </c>
      <c r="N125" s="11">
        <v>0</v>
      </c>
      <c r="O125" s="55">
        <f t="shared" si="1"/>
        <v>0</v>
      </c>
      <c r="P125" s="11" t="s">
        <v>73</v>
      </c>
      <c r="Q125" s="11" t="s">
        <v>37</v>
      </c>
      <c r="R125" s="11" t="s">
        <v>37</v>
      </c>
      <c r="S125" s="11" t="s">
        <v>37</v>
      </c>
      <c r="T125" s="11" t="s">
        <v>37</v>
      </c>
      <c r="U125" s="73" t="s">
        <v>205</v>
      </c>
    </row>
    <row r="126" spans="1:21" s="1" customFormat="1" ht="26.4" x14ac:dyDescent="0.3">
      <c r="A126" s="5" t="s">
        <v>197</v>
      </c>
      <c r="B126" s="11" t="s">
        <v>206</v>
      </c>
      <c r="C126" s="11" t="s">
        <v>37</v>
      </c>
      <c r="D126" s="11" t="s">
        <v>49</v>
      </c>
      <c r="E126" s="11">
        <v>1</v>
      </c>
      <c r="F126" s="11" t="s">
        <v>37</v>
      </c>
      <c r="G126" s="11" t="s">
        <v>23</v>
      </c>
      <c r="H126" s="11" t="s">
        <v>24</v>
      </c>
      <c r="I126" s="11" t="s">
        <v>25</v>
      </c>
      <c r="J126" s="11" t="s">
        <v>26</v>
      </c>
      <c r="K126" s="11" t="s">
        <v>37</v>
      </c>
      <c r="L126" s="50">
        <v>46073</v>
      </c>
      <c r="M126" s="11" t="s">
        <v>37</v>
      </c>
      <c r="N126" s="11">
        <v>0</v>
      </c>
      <c r="O126" s="55">
        <f t="shared" si="1"/>
        <v>0</v>
      </c>
      <c r="P126" s="11" t="s">
        <v>73</v>
      </c>
      <c r="Q126" s="11" t="s">
        <v>37</v>
      </c>
      <c r="R126" s="11" t="s">
        <v>37</v>
      </c>
      <c r="S126" s="11" t="s">
        <v>37</v>
      </c>
      <c r="T126" s="11" t="s">
        <v>37</v>
      </c>
      <c r="U126" s="77" t="s">
        <v>197</v>
      </c>
    </row>
    <row r="127" spans="1:21" s="1" customFormat="1" ht="26.4" x14ac:dyDescent="0.3">
      <c r="A127" s="5" t="s">
        <v>200</v>
      </c>
      <c r="B127" s="11" t="s">
        <v>206</v>
      </c>
      <c r="C127" s="11" t="s">
        <v>37</v>
      </c>
      <c r="D127" s="11" t="s">
        <v>49</v>
      </c>
      <c r="E127" s="11">
        <v>1</v>
      </c>
      <c r="F127" s="11" t="s">
        <v>37</v>
      </c>
      <c r="G127" s="11" t="s">
        <v>23</v>
      </c>
      <c r="H127" s="11" t="s">
        <v>24</v>
      </c>
      <c r="I127" s="11" t="s">
        <v>25</v>
      </c>
      <c r="J127" s="11" t="s">
        <v>26</v>
      </c>
      <c r="K127" s="11" t="s">
        <v>37</v>
      </c>
      <c r="L127" s="50">
        <v>46073</v>
      </c>
      <c r="M127" s="11" t="s">
        <v>37</v>
      </c>
      <c r="N127" s="11">
        <v>0</v>
      </c>
      <c r="O127" s="55">
        <f t="shared" si="1"/>
        <v>0</v>
      </c>
      <c r="P127" s="11" t="s">
        <v>73</v>
      </c>
      <c r="Q127" s="11" t="s">
        <v>37</v>
      </c>
      <c r="R127" s="11" t="s">
        <v>37</v>
      </c>
      <c r="S127" s="11" t="s">
        <v>37</v>
      </c>
      <c r="T127" s="11" t="s">
        <v>37</v>
      </c>
      <c r="U127" s="77" t="s">
        <v>200</v>
      </c>
    </row>
    <row r="128" spans="1:21" s="1" customFormat="1" ht="26.4" x14ac:dyDescent="0.3">
      <c r="A128" s="5" t="s">
        <v>203</v>
      </c>
      <c r="B128" s="11" t="s">
        <v>206</v>
      </c>
      <c r="C128" s="11" t="s">
        <v>37</v>
      </c>
      <c r="D128" s="11" t="s">
        <v>49</v>
      </c>
      <c r="E128" s="11">
        <v>1</v>
      </c>
      <c r="F128" s="11" t="s">
        <v>37</v>
      </c>
      <c r="G128" s="11" t="s">
        <v>23</v>
      </c>
      <c r="H128" s="11" t="s">
        <v>24</v>
      </c>
      <c r="I128" s="11" t="s">
        <v>25</v>
      </c>
      <c r="J128" s="11" t="s">
        <v>26</v>
      </c>
      <c r="K128" s="11" t="s">
        <v>37</v>
      </c>
      <c r="L128" s="50">
        <v>46073</v>
      </c>
      <c r="M128" s="11"/>
      <c r="N128" s="11">
        <v>0</v>
      </c>
      <c r="O128" s="55">
        <f t="shared" si="1"/>
        <v>0</v>
      </c>
      <c r="P128" s="11" t="s">
        <v>73</v>
      </c>
      <c r="Q128" s="11" t="s">
        <v>37</v>
      </c>
      <c r="R128" s="11" t="s">
        <v>37</v>
      </c>
      <c r="S128" s="11" t="s">
        <v>37</v>
      </c>
      <c r="T128" s="11"/>
      <c r="U128" s="5" t="s">
        <v>37</v>
      </c>
    </row>
    <row r="129" spans="1:21" s="1" customFormat="1" ht="26.4" x14ac:dyDescent="0.3">
      <c r="A129" s="11" t="s">
        <v>207</v>
      </c>
      <c r="B129" s="11" t="s">
        <v>202</v>
      </c>
      <c r="C129" s="11" t="s">
        <v>37</v>
      </c>
      <c r="D129" s="5" t="s">
        <v>22</v>
      </c>
      <c r="E129" s="11">
        <v>1</v>
      </c>
      <c r="F129" s="5" t="s">
        <v>970</v>
      </c>
      <c r="G129" s="11" t="s">
        <v>23</v>
      </c>
      <c r="H129" s="11" t="s">
        <v>24</v>
      </c>
      <c r="I129" s="11" t="s">
        <v>25</v>
      </c>
      <c r="J129" s="11" t="s">
        <v>26</v>
      </c>
      <c r="K129" s="50">
        <v>40264</v>
      </c>
      <c r="L129" s="50">
        <v>46069</v>
      </c>
      <c r="M129" s="11" t="s">
        <v>971</v>
      </c>
      <c r="N129" s="11">
        <v>147200</v>
      </c>
      <c r="O129" s="55">
        <f t="shared" si="1"/>
        <v>147200</v>
      </c>
      <c r="P129" s="11" t="s">
        <v>73</v>
      </c>
      <c r="Q129" s="43" t="s">
        <v>1117</v>
      </c>
      <c r="R129" s="5" t="s">
        <v>1118</v>
      </c>
      <c r="S129" s="5" t="s">
        <v>1119</v>
      </c>
      <c r="T129" s="11" t="s">
        <v>1145</v>
      </c>
      <c r="U129" s="11" t="s">
        <v>208</v>
      </c>
    </row>
    <row r="130" spans="1:21" s="1" customFormat="1" ht="26.4" x14ac:dyDescent="0.3">
      <c r="A130" s="11" t="s">
        <v>209</v>
      </c>
      <c r="B130" s="11" t="s">
        <v>202</v>
      </c>
      <c r="C130" s="11" t="s">
        <v>37</v>
      </c>
      <c r="D130" s="5" t="s">
        <v>22</v>
      </c>
      <c r="E130" s="11">
        <v>1</v>
      </c>
      <c r="F130" s="5" t="s">
        <v>970</v>
      </c>
      <c r="G130" s="11" t="s">
        <v>23</v>
      </c>
      <c r="H130" s="11" t="s">
        <v>24</v>
      </c>
      <c r="I130" s="11" t="s">
        <v>25</v>
      </c>
      <c r="J130" s="11" t="s">
        <v>26</v>
      </c>
      <c r="K130" s="50">
        <v>40264</v>
      </c>
      <c r="L130" s="50">
        <v>46069</v>
      </c>
      <c r="M130" s="11" t="s">
        <v>971</v>
      </c>
      <c r="N130" s="11">
        <v>147200</v>
      </c>
      <c r="O130" s="55">
        <f t="shared" ref="O130:O189" si="2">N130*E130</f>
        <v>147200</v>
      </c>
      <c r="P130" s="11" t="s">
        <v>73</v>
      </c>
      <c r="Q130" s="43" t="s">
        <v>1117</v>
      </c>
      <c r="R130" s="5" t="s">
        <v>1118</v>
      </c>
      <c r="S130" s="5" t="s">
        <v>1119</v>
      </c>
      <c r="T130" s="11" t="s">
        <v>1145</v>
      </c>
      <c r="U130" s="11" t="s">
        <v>37</v>
      </c>
    </row>
    <row r="131" spans="1:21" s="1" customFormat="1" ht="26.4" x14ac:dyDescent="0.3">
      <c r="A131" s="11" t="s">
        <v>208</v>
      </c>
      <c r="B131" s="11" t="s">
        <v>202</v>
      </c>
      <c r="C131" s="11" t="s">
        <v>37</v>
      </c>
      <c r="D131" s="5" t="s">
        <v>22</v>
      </c>
      <c r="E131" s="11">
        <v>1</v>
      </c>
      <c r="F131" s="5" t="s">
        <v>970</v>
      </c>
      <c r="G131" s="11" t="s">
        <v>23</v>
      </c>
      <c r="H131" s="11" t="s">
        <v>24</v>
      </c>
      <c r="I131" s="11" t="s">
        <v>25</v>
      </c>
      <c r="J131" s="11" t="s">
        <v>26</v>
      </c>
      <c r="K131" s="50">
        <v>40264</v>
      </c>
      <c r="L131" s="50">
        <v>46069</v>
      </c>
      <c r="M131" s="11" t="s">
        <v>971</v>
      </c>
      <c r="N131" s="11">
        <v>147200</v>
      </c>
      <c r="O131" s="55">
        <f t="shared" si="2"/>
        <v>147200</v>
      </c>
      <c r="P131" s="11" t="s">
        <v>73</v>
      </c>
      <c r="Q131" s="43" t="s">
        <v>1117</v>
      </c>
      <c r="R131" s="5" t="s">
        <v>1118</v>
      </c>
      <c r="S131" s="5" t="s">
        <v>1119</v>
      </c>
      <c r="T131" s="11" t="s">
        <v>1145</v>
      </c>
      <c r="U131" s="73" t="s">
        <v>208</v>
      </c>
    </row>
    <row r="132" spans="1:21" s="1" customFormat="1" ht="26.4" x14ac:dyDescent="0.3">
      <c r="A132" s="11" t="s">
        <v>210</v>
      </c>
      <c r="B132" s="11" t="s">
        <v>211</v>
      </c>
      <c r="C132" s="11" t="s">
        <v>212</v>
      </c>
      <c r="D132" s="5" t="s">
        <v>22</v>
      </c>
      <c r="E132" s="11">
        <v>1</v>
      </c>
      <c r="F132" s="11" t="s">
        <v>1105</v>
      </c>
      <c r="G132" s="11" t="s">
        <v>23</v>
      </c>
      <c r="H132" s="11" t="s">
        <v>24</v>
      </c>
      <c r="I132" s="11" t="s">
        <v>25</v>
      </c>
      <c r="J132" s="11" t="s">
        <v>26</v>
      </c>
      <c r="K132" s="50">
        <v>42975</v>
      </c>
      <c r="L132" s="50">
        <v>46071</v>
      </c>
      <c r="M132" s="5" t="s">
        <v>939</v>
      </c>
      <c r="N132" s="11">
        <v>355505</v>
      </c>
      <c r="O132" s="55">
        <f t="shared" si="2"/>
        <v>355505</v>
      </c>
      <c r="P132" s="25" t="s">
        <v>73</v>
      </c>
      <c r="Q132" s="43" t="s">
        <v>393</v>
      </c>
      <c r="R132" s="5">
        <v>25447696</v>
      </c>
      <c r="S132" s="5" t="s">
        <v>394</v>
      </c>
      <c r="T132" s="11" t="s">
        <v>538</v>
      </c>
      <c r="U132" s="73" t="s">
        <v>213</v>
      </c>
    </row>
    <row r="133" spans="1:21" s="1" customFormat="1" ht="26.4" x14ac:dyDescent="0.3">
      <c r="A133" s="11" t="s">
        <v>214</v>
      </c>
      <c r="B133" s="11" t="s">
        <v>215</v>
      </c>
      <c r="C133" s="11" t="s">
        <v>212</v>
      </c>
      <c r="D133" s="5" t="s">
        <v>22</v>
      </c>
      <c r="E133" s="11">
        <v>1</v>
      </c>
      <c r="F133" s="11" t="s">
        <v>1105</v>
      </c>
      <c r="G133" s="11" t="s">
        <v>23</v>
      </c>
      <c r="H133" s="11" t="s">
        <v>24</v>
      </c>
      <c r="I133" s="11" t="s">
        <v>25</v>
      </c>
      <c r="J133" s="11" t="s">
        <v>26</v>
      </c>
      <c r="K133" s="50">
        <v>42975</v>
      </c>
      <c r="L133" s="50">
        <v>46071</v>
      </c>
      <c r="M133" s="5" t="s">
        <v>939</v>
      </c>
      <c r="N133" s="11">
        <v>355505</v>
      </c>
      <c r="O133" s="55">
        <f t="shared" si="2"/>
        <v>355505</v>
      </c>
      <c r="P133" s="25" t="s">
        <v>73</v>
      </c>
      <c r="Q133" s="43" t="s">
        <v>393</v>
      </c>
      <c r="R133" s="5">
        <v>25447696</v>
      </c>
      <c r="S133" s="5" t="s">
        <v>394</v>
      </c>
      <c r="T133" s="11" t="s">
        <v>538</v>
      </c>
      <c r="U133" s="73" t="s">
        <v>216</v>
      </c>
    </row>
    <row r="134" spans="1:21" s="1" customFormat="1" ht="26.4" x14ac:dyDescent="0.3">
      <c r="A134" s="11" t="s">
        <v>217</v>
      </c>
      <c r="B134" s="11" t="s">
        <v>218</v>
      </c>
      <c r="C134" s="11" t="s">
        <v>212</v>
      </c>
      <c r="D134" s="5" t="s">
        <v>22</v>
      </c>
      <c r="E134" s="11">
        <v>1</v>
      </c>
      <c r="F134" s="11" t="s">
        <v>1105</v>
      </c>
      <c r="G134" s="11" t="s">
        <v>23</v>
      </c>
      <c r="H134" s="11" t="s">
        <v>24</v>
      </c>
      <c r="I134" s="11" t="s">
        <v>25</v>
      </c>
      <c r="J134" s="11" t="s">
        <v>26</v>
      </c>
      <c r="K134" s="50">
        <v>42975</v>
      </c>
      <c r="L134" s="50">
        <v>46071</v>
      </c>
      <c r="M134" s="5" t="s">
        <v>939</v>
      </c>
      <c r="N134" s="11">
        <v>355505</v>
      </c>
      <c r="O134" s="55">
        <f t="shared" si="2"/>
        <v>355505</v>
      </c>
      <c r="P134" s="25" t="s">
        <v>73</v>
      </c>
      <c r="Q134" s="43" t="s">
        <v>393</v>
      </c>
      <c r="R134" s="5">
        <v>25447696</v>
      </c>
      <c r="S134" s="5" t="s">
        <v>394</v>
      </c>
      <c r="T134" s="11" t="s">
        <v>538</v>
      </c>
      <c r="U134" s="73" t="s">
        <v>219</v>
      </c>
    </row>
    <row r="135" spans="1:21" s="1" customFormat="1" ht="26.4" x14ac:dyDescent="0.3">
      <c r="A135" s="11" t="s">
        <v>220</v>
      </c>
      <c r="B135" s="11" t="s">
        <v>221</v>
      </c>
      <c r="C135" s="11" t="s">
        <v>212</v>
      </c>
      <c r="D135" s="5" t="s">
        <v>22</v>
      </c>
      <c r="E135" s="11">
        <v>1</v>
      </c>
      <c r="F135" s="11" t="s">
        <v>1105</v>
      </c>
      <c r="G135" s="11" t="s">
        <v>23</v>
      </c>
      <c r="H135" s="11" t="s">
        <v>24</v>
      </c>
      <c r="I135" s="11" t="s">
        <v>25</v>
      </c>
      <c r="J135" s="11" t="s">
        <v>26</v>
      </c>
      <c r="K135" s="50">
        <v>42975</v>
      </c>
      <c r="L135" s="50">
        <v>46071</v>
      </c>
      <c r="M135" s="5" t="s">
        <v>939</v>
      </c>
      <c r="N135" s="11">
        <v>355505</v>
      </c>
      <c r="O135" s="55">
        <f t="shared" si="2"/>
        <v>355505</v>
      </c>
      <c r="P135" s="25" t="s">
        <v>73</v>
      </c>
      <c r="Q135" s="43" t="s">
        <v>393</v>
      </c>
      <c r="R135" s="5">
        <v>25447696</v>
      </c>
      <c r="S135" s="5" t="s">
        <v>394</v>
      </c>
      <c r="T135" s="11" t="s">
        <v>538</v>
      </c>
      <c r="U135" s="73" t="s">
        <v>222</v>
      </c>
    </row>
    <row r="136" spans="1:21" s="1" customFormat="1" ht="26.4" x14ac:dyDescent="0.3">
      <c r="A136" s="11" t="s">
        <v>223</v>
      </c>
      <c r="B136" s="11" t="s">
        <v>224</v>
      </c>
      <c r="C136" s="11" t="s">
        <v>212</v>
      </c>
      <c r="D136" s="5" t="s">
        <v>22</v>
      </c>
      <c r="E136" s="11">
        <v>1</v>
      </c>
      <c r="F136" s="11" t="s">
        <v>1105</v>
      </c>
      <c r="G136" s="11" t="s">
        <v>23</v>
      </c>
      <c r="H136" s="11" t="s">
        <v>24</v>
      </c>
      <c r="I136" s="11" t="s">
        <v>25</v>
      </c>
      <c r="J136" s="11" t="s">
        <v>26</v>
      </c>
      <c r="K136" s="50">
        <v>42975</v>
      </c>
      <c r="L136" s="50">
        <v>46071</v>
      </c>
      <c r="M136" s="5" t="s">
        <v>939</v>
      </c>
      <c r="N136" s="11">
        <v>355505</v>
      </c>
      <c r="O136" s="55">
        <f t="shared" si="2"/>
        <v>355505</v>
      </c>
      <c r="P136" s="25" t="s">
        <v>73</v>
      </c>
      <c r="Q136" s="43" t="s">
        <v>393</v>
      </c>
      <c r="R136" s="5">
        <v>25447696</v>
      </c>
      <c r="S136" s="5" t="s">
        <v>394</v>
      </c>
      <c r="T136" s="11" t="s">
        <v>538</v>
      </c>
      <c r="U136" s="73" t="s">
        <v>225</v>
      </c>
    </row>
    <row r="137" spans="1:21" s="1" customFormat="1" ht="26.4" x14ac:dyDescent="0.3">
      <c r="A137" s="11" t="s">
        <v>226</v>
      </c>
      <c r="B137" s="11" t="s">
        <v>227</v>
      </c>
      <c r="C137" s="11" t="s">
        <v>212</v>
      </c>
      <c r="D137" s="5" t="s">
        <v>22</v>
      </c>
      <c r="E137" s="11">
        <v>1</v>
      </c>
      <c r="F137" s="11" t="s">
        <v>1105</v>
      </c>
      <c r="G137" s="11" t="s">
        <v>23</v>
      </c>
      <c r="H137" s="11" t="s">
        <v>24</v>
      </c>
      <c r="I137" s="11" t="s">
        <v>25</v>
      </c>
      <c r="J137" s="11" t="s">
        <v>26</v>
      </c>
      <c r="K137" s="50">
        <v>42975</v>
      </c>
      <c r="L137" s="50">
        <v>46071</v>
      </c>
      <c r="M137" s="5" t="s">
        <v>939</v>
      </c>
      <c r="N137" s="11">
        <v>355505</v>
      </c>
      <c r="O137" s="55">
        <f t="shared" si="2"/>
        <v>355505</v>
      </c>
      <c r="P137" s="25" t="s">
        <v>73</v>
      </c>
      <c r="Q137" s="43" t="s">
        <v>393</v>
      </c>
      <c r="R137" s="5">
        <v>25447696</v>
      </c>
      <c r="S137" s="5" t="s">
        <v>394</v>
      </c>
      <c r="T137" s="11" t="s">
        <v>538</v>
      </c>
      <c r="U137" s="73" t="s">
        <v>228</v>
      </c>
    </row>
    <row r="138" spans="1:21" s="1" customFormat="1" ht="26.4" x14ac:dyDescent="0.3">
      <c r="A138" s="11" t="s">
        <v>229</v>
      </c>
      <c r="B138" s="11" t="s">
        <v>230</v>
      </c>
      <c r="C138" s="11" t="s">
        <v>212</v>
      </c>
      <c r="D138" s="5" t="s">
        <v>22</v>
      </c>
      <c r="E138" s="11">
        <v>1</v>
      </c>
      <c r="F138" s="11" t="s">
        <v>1105</v>
      </c>
      <c r="G138" s="11" t="s">
        <v>23</v>
      </c>
      <c r="H138" s="11" t="s">
        <v>24</v>
      </c>
      <c r="I138" s="11" t="s">
        <v>25</v>
      </c>
      <c r="J138" s="11" t="s">
        <v>26</v>
      </c>
      <c r="K138" s="50">
        <v>42975</v>
      </c>
      <c r="L138" s="50">
        <v>46071</v>
      </c>
      <c r="M138" s="5" t="s">
        <v>939</v>
      </c>
      <c r="N138" s="11">
        <v>355505</v>
      </c>
      <c r="O138" s="55">
        <f t="shared" si="2"/>
        <v>355505</v>
      </c>
      <c r="P138" s="25" t="s">
        <v>73</v>
      </c>
      <c r="Q138" s="43" t="s">
        <v>393</v>
      </c>
      <c r="R138" s="5">
        <v>25447696</v>
      </c>
      <c r="S138" s="5" t="s">
        <v>394</v>
      </c>
      <c r="T138" s="11" t="s">
        <v>538</v>
      </c>
      <c r="U138" s="73" t="s">
        <v>231</v>
      </c>
    </row>
    <row r="139" spans="1:21" s="1" customFormat="1" ht="26.4" x14ac:dyDescent="0.3">
      <c r="A139" s="11" t="s">
        <v>232</v>
      </c>
      <c r="B139" s="11" t="s">
        <v>233</v>
      </c>
      <c r="C139" s="11" t="s">
        <v>1154</v>
      </c>
      <c r="D139" s="5" t="s">
        <v>22</v>
      </c>
      <c r="E139" s="11">
        <v>1</v>
      </c>
      <c r="F139" s="11" t="s">
        <v>970</v>
      </c>
      <c r="G139" s="11" t="s">
        <v>23</v>
      </c>
      <c r="H139" s="11" t="s">
        <v>24</v>
      </c>
      <c r="I139" s="11" t="s">
        <v>25</v>
      </c>
      <c r="J139" s="11" t="s">
        <v>26</v>
      </c>
      <c r="K139" s="50">
        <v>40890</v>
      </c>
      <c r="L139" s="50">
        <v>46073</v>
      </c>
      <c r="M139" s="11" t="s">
        <v>1132</v>
      </c>
      <c r="N139" s="11">
        <v>438299</v>
      </c>
      <c r="O139" s="55">
        <f t="shared" si="2"/>
        <v>438299</v>
      </c>
      <c r="P139" s="11" t="s">
        <v>73</v>
      </c>
      <c r="Q139" s="43" t="s">
        <v>1117</v>
      </c>
      <c r="R139" s="5" t="s">
        <v>1118</v>
      </c>
      <c r="S139" s="5" t="s">
        <v>1119</v>
      </c>
      <c r="T139" s="11" t="s">
        <v>1145</v>
      </c>
      <c r="U139" s="73" t="s">
        <v>232</v>
      </c>
    </row>
    <row r="140" spans="1:21" s="1" customFormat="1" ht="26.4" x14ac:dyDescent="0.3">
      <c r="A140" s="11" t="s">
        <v>234</v>
      </c>
      <c r="B140" s="11" t="s">
        <v>235</v>
      </c>
      <c r="C140" s="11" t="s">
        <v>1154</v>
      </c>
      <c r="D140" s="5" t="s">
        <v>22</v>
      </c>
      <c r="E140" s="11">
        <v>1</v>
      </c>
      <c r="F140" s="11" t="s">
        <v>970</v>
      </c>
      <c r="G140" s="11" t="s">
        <v>23</v>
      </c>
      <c r="H140" s="11" t="s">
        <v>24</v>
      </c>
      <c r="I140" s="11" t="s">
        <v>25</v>
      </c>
      <c r="J140" s="11" t="s">
        <v>26</v>
      </c>
      <c r="K140" s="50">
        <v>40890</v>
      </c>
      <c r="L140" s="50">
        <v>46073</v>
      </c>
      <c r="M140" s="11" t="s">
        <v>1132</v>
      </c>
      <c r="N140" s="11">
        <v>438299</v>
      </c>
      <c r="O140" s="55">
        <f t="shared" si="2"/>
        <v>438299</v>
      </c>
      <c r="P140" s="11" t="s">
        <v>73</v>
      </c>
      <c r="Q140" s="43" t="s">
        <v>1117</v>
      </c>
      <c r="R140" s="5" t="s">
        <v>1118</v>
      </c>
      <c r="S140" s="5" t="s">
        <v>1119</v>
      </c>
      <c r="T140" s="11" t="s">
        <v>1145</v>
      </c>
      <c r="U140" s="73" t="s">
        <v>234</v>
      </c>
    </row>
    <row r="141" spans="1:21" s="1" customFormat="1" ht="26.4" x14ac:dyDescent="0.3">
      <c r="A141" s="11" t="s">
        <v>236</v>
      </c>
      <c r="B141" s="11" t="s">
        <v>237</v>
      </c>
      <c r="C141" s="11" t="s">
        <v>1154</v>
      </c>
      <c r="D141" s="5" t="s">
        <v>22</v>
      </c>
      <c r="E141" s="11">
        <v>1</v>
      </c>
      <c r="F141" s="11" t="s">
        <v>970</v>
      </c>
      <c r="G141" s="11" t="s">
        <v>23</v>
      </c>
      <c r="H141" s="11" t="s">
        <v>24</v>
      </c>
      <c r="I141" s="11" t="s">
        <v>25</v>
      </c>
      <c r="J141" s="11" t="s">
        <v>26</v>
      </c>
      <c r="K141" s="50">
        <v>40890</v>
      </c>
      <c r="L141" s="50">
        <v>46073</v>
      </c>
      <c r="M141" s="11" t="s">
        <v>1132</v>
      </c>
      <c r="N141" s="11">
        <v>438299</v>
      </c>
      <c r="O141" s="55">
        <f t="shared" si="2"/>
        <v>438299</v>
      </c>
      <c r="P141" s="11" t="s">
        <v>73</v>
      </c>
      <c r="Q141" s="43" t="s">
        <v>1117</v>
      </c>
      <c r="R141" s="5" t="s">
        <v>1118</v>
      </c>
      <c r="S141" s="5" t="s">
        <v>1119</v>
      </c>
      <c r="T141" s="11" t="s">
        <v>1145</v>
      </c>
      <c r="U141" s="73" t="s">
        <v>236</v>
      </c>
    </row>
    <row r="142" spans="1:21" s="1" customFormat="1" ht="26.4" x14ac:dyDescent="0.3">
      <c r="A142" s="11" t="s">
        <v>238</v>
      </c>
      <c r="B142" s="11" t="s">
        <v>239</v>
      </c>
      <c r="C142" s="11" t="s">
        <v>1154</v>
      </c>
      <c r="D142" s="5" t="s">
        <v>22</v>
      </c>
      <c r="E142" s="11">
        <v>1</v>
      </c>
      <c r="F142" s="11" t="s">
        <v>970</v>
      </c>
      <c r="G142" s="11" t="s">
        <v>23</v>
      </c>
      <c r="H142" s="11" t="s">
        <v>24</v>
      </c>
      <c r="I142" s="11" t="s">
        <v>25</v>
      </c>
      <c r="J142" s="11" t="s">
        <v>26</v>
      </c>
      <c r="K142" s="50">
        <v>40890</v>
      </c>
      <c r="L142" s="50">
        <v>46073</v>
      </c>
      <c r="M142" s="11" t="s">
        <v>1132</v>
      </c>
      <c r="N142" s="11">
        <v>438299</v>
      </c>
      <c r="O142" s="55">
        <f t="shared" si="2"/>
        <v>438299</v>
      </c>
      <c r="P142" s="11" t="s">
        <v>73</v>
      </c>
      <c r="Q142" s="43" t="s">
        <v>1117</v>
      </c>
      <c r="R142" s="5" t="s">
        <v>1118</v>
      </c>
      <c r="S142" s="5" t="s">
        <v>1119</v>
      </c>
      <c r="T142" s="11" t="s">
        <v>1145</v>
      </c>
      <c r="U142" s="73" t="s">
        <v>238</v>
      </c>
    </row>
    <row r="143" spans="1:21" s="1" customFormat="1" ht="52.8" x14ac:dyDescent="0.3">
      <c r="A143" s="11" t="s">
        <v>917</v>
      </c>
      <c r="B143" s="11" t="s">
        <v>241</v>
      </c>
      <c r="C143" s="11" t="s">
        <v>242</v>
      </c>
      <c r="D143" s="5" t="s">
        <v>22</v>
      </c>
      <c r="E143" s="11">
        <v>1</v>
      </c>
      <c r="F143" s="11" t="s">
        <v>243</v>
      </c>
      <c r="G143" s="11" t="s">
        <v>23</v>
      </c>
      <c r="H143" s="11" t="s">
        <v>24</v>
      </c>
      <c r="I143" s="11" t="s">
        <v>25</v>
      </c>
      <c r="J143" s="11" t="s">
        <v>26</v>
      </c>
      <c r="K143" s="53">
        <v>45202</v>
      </c>
      <c r="L143" s="53">
        <v>46064</v>
      </c>
      <c r="M143" s="31" t="s">
        <v>244</v>
      </c>
      <c r="N143" s="31">
        <v>437296</v>
      </c>
      <c r="O143" s="55">
        <f t="shared" si="2"/>
        <v>437296</v>
      </c>
      <c r="P143" s="25" t="s">
        <v>73</v>
      </c>
      <c r="Q143" s="5" t="s">
        <v>245</v>
      </c>
      <c r="R143" s="5" t="s">
        <v>246</v>
      </c>
      <c r="S143" s="5" t="s">
        <v>247</v>
      </c>
      <c r="T143" s="31" t="s">
        <v>32</v>
      </c>
      <c r="U143" s="73" t="s">
        <v>240</v>
      </c>
    </row>
    <row r="144" spans="1:21" s="1" customFormat="1" ht="52.8" x14ac:dyDescent="0.3">
      <c r="A144" s="11" t="s">
        <v>918</v>
      </c>
      <c r="B144" s="11" t="s">
        <v>249</v>
      </c>
      <c r="C144" s="11" t="s">
        <v>242</v>
      </c>
      <c r="D144" s="5" t="s">
        <v>22</v>
      </c>
      <c r="E144" s="11">
        <v>1</v>
      </c>
      <c r="F144" s="11" t="s">
        <v>243</v>
      </c>
      <c r="G144" s="11" t="s">
        <v>23</v>
      </c>
      <c r="H144" s="11" t="s">
        <v>24</v>
      </c>
      <c r="I144" s="11" t="s">
        <v>25</v>
      </c>
      <c r="J144" s="11" t="s">
        <v>26</v>
      </c>
      <c r="K144" s="53">
        <v>45202</v>
      </c>
      <c r="L144" s="53">
        <v>46064</v>
      </c>
      <c r="M144" s="31" t="s">
        <v>244</v>
      </c>
      <c r="N144" s="31">
        <v>422976</v>
      </c>
      <c r="O144" s="55">
        <f t="shared" si="2"/>
        <v>422976</v>
      </c>
      <c r="P144" s="25" t="s">
        <v>73</v>
      </c>
      <c r="Q144" s="5" t="s">
        <v>245</v>
      </c>
      <c r="R144" s="5" t="s">
        <v>246</v>
      </c>
      <c r="S144" s="5" t="s">
        <v>247</v>
      </c>
      <c r="T144" s="31" t="s">
        <v>32</v>
      </c>
      <c r="U144" s="73" t="s">
        <v>248</v>
      </c>
    </row>
    <row r="145" spans="1:21" s="1" customFormat="1" ht="52.8" x14ac:dyDescent="0.3">
      <c r="A145" s="11" t="s">
        <v>919</v>
      </c>
      <c r="B145" s="11" t="s">
        <v>249</v>
      </c>
      <c r="C145" s="11" t="s">
        <v>242</v>
      </c>
      <c r="D145" s="5" t="s">
        <v>22</v>
      </c>
      <c r="E145" s="11">
        <v>1</v>
      </c>
      <c r="F145" s="11" t="s">
        <v>243</v>
      </c>
      <c r="G145" s="11" t="s">
        <v>23</v>
      </c>
      <c r="H145" s="11" t="s">
        <v>24</v>
      </c>
      <c r="I145" s="11" t="s">
        <v>25</v>
      </c>
      <c r="J145" s="11" t="s">
        <v>26</v>
      </c>
      <c r="K145" s="53">
        <v>45202</v>
      </c>
      <c r="L145" s="53">
        <v>46064</v>
      </c>
      <c r="M145" s="31" t="s">
        <v>244</v>
      </c>
      <c r="N145" s="31">
        <v>422976</v>
      </c>
      <c r="O145" s="55">
        <f t="shared" si="2"/>
        <v>422976</v>
      </c>
      <c r="P145" s="25" t="s">
        <v>73</v>
      </c>
      <c r="Q145" s="5" t="s">
        <v>245</v>
      </c>
      <c r="R145" s="5" t="s">
        <v>246</v>
      </c>
      <c r="S145" s="5" t="s">
        <v>247</v>
      </c>
      <c r="T145" s="31" t="s">
        <v>32</v>
      </c>
      <c r="U145" s="73" t="s">
        <v>250</v>
      </c>
    </row>
    <row r="146" spans="1:21" s="1" customFormat="1" ht="52.8" x14ac:dyDescent="0.3">
      <c r="A146" s="11" t="s">
        <v>920</v>
      </c>
      <c r="B146" s="11" t="s">
        <v>249</v>
      </c>
      <c r="C146" s="11" t="s">
        <v>242</v>
      </c>
      <c r="D146" s="5" t="s">
        <v>22</v>
      </c>
      <c r="E146" s="11">
        <v>1</v>
      </c>
      <c r="F146" s="11" t="s">
        <v>243</v>
      </c>
      <c r="G146" s="11" t="s">
        <v>23</v>
      </c>
      <c r="H146" s="11" t="s">
        <v>24</v>
      </c>
      <c r="I146" s="11" t="s">
        <v>25</v>
      </c>
      <c r="J146" s="11" t="s">
        <v>26</v>
      </c>
      <c r="K146" s="53">
        <v>45202</v>
      </c>
      <c r="L146" s="53">
        <v>46064</v>
      </c>
      <c r="M146" s="31" t="s">
        <v>244</v>
      </c>
      <c r="N146" s="31">
        <v>422976</v>
      </c>
      <c r="O146" s="55">
        <f t="shared" si="2"/>
        <v>422976</v>
      </c>
      <c r="P146" s="25" t="s">
        <v>73</v>
      </c>
      <c r="Q146" s="5" t="s">
        <v>245</v>
      </c>
      <c r="R146" s="5" t="s">
        <v>246</v>
      </c>
      <c r="S146" s="5" t="s">
        <v>247</v>
      </c>
      <c r="T146" s="31" t="s">
        <v>32</v>
      </c>
      <c r="U146" s="73" t="s">
        <v>251</v>
      </c>
    </row>
    <row r="147" spans="1:21" s="1" customFormat="1" ht="52.8" x14ac:dyDescent="0.3">
      <c r="A147" s="11" t="s">
        <v>921</v>
      </c>
      <c r="B147" s="11" t="s">
        <v>249</v>
      </c>
      <c r="C147" s="11" t="s">
        <v>242</v>
      </c>
      <c r="D147" s="5" t="s">
        <v>22</v>
      </c>
      <c r="E147" s="11">
        <v>1</v>
      </c>
      <c r="F147" s="11" t="s">
        <v>243</v>
      </c>
      <c r="G147" s="11" t="s">
        <v>23</v>
      </c>
      <c r="H147" s="11" t="s">
        <v>24</v>
      </c>
      <c r="I147" s="11" t="s">
        <v>25</v>
      </c>
      <c r="J147" s="11" t="s">
        <v>26</v>
      </c>
      <c r="K147" s="53">
        <v>45202</v>
      </c>
      <c r="L147" s="53">
        <v>46064</v>
      </c>
      <c r="M147" s="31" t="s">
        <v>244</v>
      </c>
      <c r="N147" s="31">
        <v>422976</v>
      </c>
      <c r="O147" s="55">
        <f t="shared" si="2"/>
        <v>422976</v>
      </c>
      <c r="P147" s="25" t="s">
        <v>73</v>
      </c>
      <c r="Q147" s="5" t="s">
        <v>245</v>
      </c>
      <c r="R147" s="5" t="s">
        <v>246</v>
      </c>
      <c r="S147" s="5" t="s">
        <v>247</v>
      </c>
      <c r="T147" s="31" t="s">
        <v>32</v>
      </c>
      <c r="U147" s="73" t="s">
        <v>252</v>
      </c>
    </row>
    <row r="148" spans="1:21" s="1" customFormat="1" ht="52.8" x14ac:dyDescent="0.3">
      <c r="A148" s="11" t="s">
        <v>922</v>
      </c>
      <c r="B148" s="11" t="s">
        <v>249</v>
      </c>
      <c r="C148" s="11" t="s">
        <v>242</v>
      </c>
      <c r="D148" s="5" t="s">
        <v>22</v>
      </c>
      <c r="E148" s="11">
        <v>1</v>
      </c>
      <c r="F148" s="11" t="s">
        <v>243</v>
      </c>
      <c r="G148" s="11" t="s">
        <v>23</v>
      </c>
      <c r="H148" s="11" t="s">
        <v>24</v>
      </c>
      <c r="I148" s="11" t="s">
        <v>25</v>
      </c>
      <c r="J148" s="11" t="s">
        <v>26</v>
      </c>
      <c r="K148" s="53">
        <v>45202</v>
      </c>
      <c r="L148" s="53">
        <v>46064</v>
      </c>
      <c r="M148" s="31" t="s">
        <v>244</v>
      </c>
      <c r="N148" s="31">
        <v>437296</v>
      </c>
      <c r="O148" s="55">
        <f t="shared" si="2"/>
        <v>437296</v>
      </c>
      <c r="P148" s="25" t="s">
        <v>73</v>
      </c>
      <c r="Q148" s="5" t="s">
        <v>245</v>
      </c>
      <c r="R148" s="5" t="s">
        <v>246</v>
      </c>
      <c r="S148" s="5" t="s">
        <v>247</v>
      </c>
      <c r="T148" s="31" t="s">
        <v>32</v>
      </c>
      <c r="U148" s="73" t="s">
        <v>253</v>
      </c>
    </row>
    <row r="149" spans="1:21" s="1" customFormat="1" ht="52.8" x14ac:dyDescent="0.3">
      <c r="A149" s="11" t="s">
        <v>923</v>
      </c>
      <c r="B149" s="11" t="s">
        <v>249</v>
      </c>
      <c r="C149" s="11" t="s">
        <v>242</v>
      </c>
      <c r="D149" s="5" t="s">
        <v>22</v>
      </c>
      <c r="E149" s="11">
        <v>1</v>
      </c>
      <c r="F149" s="11" t="s">
        <v>243</v>
      </c>
      <c r="G149" s="11" t="s">
        <v>23</v>
      </c>
      <c r="H149" s="11" t="s">
        <v>24</v>
      </c>
      <c r="I149" s="11" t="s">
        <v>25</v>
      </c>
      <c r="J149" s="11" t="s">
        <v>26</v>
      </c>
      <c r="K149" s="53">
        <v>45202</v>
      </c>
      <c r="L149" s="53">
        <v>46064</v>
      </c>
      <c r="M149" s="31" t="s">
        <v>244</v>
      </c>
      <c r="N149" s="31">
        <v>437296</v>
      </c>
      <c r="O149" s="55">
        <f t="shared" si="2"/>
        <v>437296</v>
      </c>
      <c r="P149" s="25" t="s">
        <v>73</v>
      </c>
      <c r="Q149" s="5" t="s">
        <v>245</v>
      </c>
      <c r="R149" s="5" t="s">
        <v>246</v>
      </c>
      <c r="S149" s="5" t="s">
        <v>247</v>
      </c>
      <c r="T149" s="31" t="s">
        <v>32</v>
      </c>
      <c r="U149" s="73" t="s">
        <v>254</v>
      </c>
    </row>
    <row r="150" spans="1:21" s="1" customFormat="1" ht="26.4" x14ac:dyDescent="0.3">
      <c r="A150" s="11" t="s">
        <v>253</v>
      </c>
      <c r="B150" s="11" t="s">
        <v>1126</v>
      </c>
      <c r="C150" s="11" t="s">
        <v>70</v>
      </c>
      <c r="D150" s="5" t="s">
        <v>22</v>
      </c>
      <c r="E150" s="11">
        <v>1</v>
      </c>
      <c r="F150" s="11" t="s">
        <v>1105</v>
      </c>
      <c r="G150" s="11" t="s">
        <v>23</v>
      </c>
      <c r="H150" s="11" t="s">
        <v>24</v>
      </c>
      <c r="I150" s="11" t="s">
        <v>25</v>
      </c>
      <c r="J150" s="11" t="s">
        <v>26</v>
      </c>
      <c r="K150" s="50">
        <v>43495</v>
      </c>
      <c r="L150" s="50">
        <v>46071</v>
      </c>
      <c r="M150" s="5" t="s">
        <v>1125</v>
      </c>
      <c r="N150" s="31">
        <v>357707</v>
      </c>
      <c r="O150" s="55">
        <f t="shared" si="2"/>
        <v>357707</v>
      </c>
      <c r="P150" s="25" t="s">
        <v>73</v>
      </c>
      <c r="Q150" s="43" t="s">
        <v>393</v>
      </c>
      <c r="R150" s="5">
        <v>25447696</v>
      </c>
      <c r="S150" s="5" t="s">
        <v>394</v>
      </c>
      <c r="T150" s="31" t="s">
        <v>538</v>
      </c>
      <c r="U150" s="73" t="s">
        <v>253</v>
      </c>
    </row>
    <row r="151" spans="1:21" s="1" customFormat="1" ht="26.4" x14ac:dyDescent="0.3">
      <c r="A151" s="11" t="s">
        <v>925</v>
      </c>
      <c r="B151" s="11" t="s">
        <v>249</v>
      </c>
      <c r="C151" s="11" t="s">
        <v>70</v>
      </c>
      <c r="D151" s="5" t="s">
        <v>22</v>
      </c>
      <c r="E151" s="11">
        <v>1</v>
      </c>
      <c r="F151" s="11" t="s">
        <v>1105</v>
      </c>
      <c r="G151" s="11" t="s">
        <v>23</v>
      </c>
      <c r="H151" s="11" t="s">
        <v>24</v>
      </c>
      <c r="I151" s="11" t="s">
        <v>25</v>
      </c>
      <c r="J151" s="11" t="s">
        <v>26</v>
      </c>
      <c r="K151" s="50">
        <v>43007</v>
      </c>
      <c r="L151" s="50">
        <v>46071</v>
      </c>
      <c r="M151" s="5" t="s">
        <v>939</v>
      </c>
      <c r="N151" s="11">
        <v>681463</v>
      </c>
      <c r="O151" s="55">
        <f t="shared" si="2"/>
        <v>681463</v>
      </c>
      <c r="P151" s="25" t="s">
        <v>73</v>
      </c>
      <c r="Q151" s="43" t="s">
        <v>393</v>
      </c>
      <c r="R151" s="5">
        <v>25447696</v>
      </c>
      <c r="S151" s="5" t="s">
        <v>394</v>
      </c>
      <c r="T151" s="31" t="s">
        <v>538</v>
      </c>
      <c r="U151" s="73" t="s">
        <v>255</v>
      </c>
    </row>
    <row r="152" spans="1:21" s="1" customFormat="1" ht="26.4" x14ac:dyDescent="0.3">
      <c r="A152" s="11" t="s">
        <v>926</v>
      </c>
      <c r="B152" s="11" t="s">
        <v>249</v>
      </c>
      <c r="C152" s="11" t="s">
        <v>70</v>
      </c>
      <c r="D152" s="5" t="s">
        <v>22</v>
      </c>
      <c r="E152" s="11">
        <v>1</v>
      </c>
      <c r="F152" s="11" t="s">
        <v>1105</v>
      </c>
      <c r="G152" s="11" t="s">
        <v>23</v>
      </c>
      <c r="H152" s="11" t="s">
        <v>24</v>
      </c>
      <c r="I152" s="11" t="s">
        <v>25</v>
      </c>
      <c r="J152" s="11" t="s">
        <v>26</v>
      </c>
      <c r="K152" s="50">
        <v>43007</v>
      </c>
      <c r="L152" s="50">
        <v>46071</v>
      </c>
      <c r="M152" s="5" t="s">
        <v>939</v>
      </c>
      <c r="N152" s="11">
        <v>681463</v>
      </c>
      <c r="O152" s="55">
        <f t="shared" si="2"/>
        <v>681463</v>
      </c>
      <c r="P152" s="25" t="s">
        <v>73</v>
      </c>
      <c r="Q152" s="43" t="s">
        <v>393</v>
      </c>
      <c r="R152" s="5">
        <v>25447696</v>
      </c>
      <c r="S152" s="5" t="s">
        <v>394</v>
      </c>
      <c r="T152" s="31" t="s">
        <v>538</v>
      </c>
      <c r="U152" s="73" t="s">
        <v>256</v>
      </c>
    </row>
    <row r="153" spans="1:21" s="1" customFormat="1" ht="26.4" x14ac:dyDescent="0.3">
      <c r="A153" s="11" t="s">
        <v>927</v>
      </c>
      <c r="B153" s="11" t="s">
        <v>249</v>
      </c>
      <c r="C153" s="11" t="s">
        <v>70</v>
      </c>
      <c r="D153" s="5" t="s">
        <v>22</v>
      </c>
      <c r="E153" s="11">
        <v>1</v>
      </c>
      <c r="F153" s="11" t="s">
        <v>1105</v>
      </c>
      <c r="G153" s="11" t="s">
        <v>23</v>
      </c>
      <c r="H153" s="11" t="s">
        <v>24</v>
      </c>
      <c r="I153" s="11" t="s">
        <v>25</v>
      </c>
      <c r="J153" s="11" t="s">
        <v>26</v>
      </c>
      <c r="K153" s="50">
        <v>43007</v>
      </c>
      <c r="L153" s="50">
        <v>46071</v>
      </c>
      <c r="M153" s="5" t="s">
        <v>939</v>
      </c>
      <c r="N153" s="11">
        <v>681463</v>
      </c>
      <c r="O153" s="55">
        <f t="shared" si="2"/>
        <v>681463</v>
      </c>
      <c r="P153" s="25" t="s">
        <v>73</v>
      </c>
      <c r="Q153" s="43" t="s">
        <v>393</v>
      </c>
      <c r="R153" s="5">
        <v>25447696</v>
      </c>
      <c r="S153" s="5" t="s">
        <v>394</v>
      </c>
      <c r="T153" s="31" t="s">
        <v>538</v>
      </c>
      <c r="U153" s="73" t="s">
        <v>257</v>
      </c>
    </row>
    <row r="154" spans="1:21" s="1" customFormat="1" ht="26.4" x14ac:dyDescent="0.3">
      <c r="A154" s="11" t="s">
        <v>928</v>
      </c>
      <c r="B154" s="11" t="s">
        <v>259</v>
      </c>
      <c r="C154" s="11" t="s">
        <v>70</v>
      </c>
      <c r="D154" s="5" t="s">
        <v>22</v>
      </c>
      <c r="E154" s="11">
        <v>1</v>
      </c>
      <c r="F154" s="11" t="s">
        <v>1105</v>
      </c>
      <c r="G154" s="11" t="s">
        <v>23</v>
      </c>
      <c r="H154" s="11" t="s">
        <v>24</v>
      </c>
      <c r="I154" s="11" t="s">
        <v>25</v>
      </c>
      <c r="J154" s="11" t="s">
        <v>26</v>
      </c>
      <c r="K154" s="50">
        <v>43005</v>
      </c>
      <c r="L154" s="50">
        <v>46076</v>
      </c>
      <c r="M154" s="5" t="s">
        <v>1133</v>
      </c>
      <c r="N154" s="11">
        <v>681463</v>
      </c>
      <c r="O154" s="55">
        <f t="shared" si="2"/>
        <v>681463</v>
      </c>
      <c r="P154" s="5" t="s">
        <v>73</v>
      </c>
      <c r="Q154" s="43" t="s">
        <v>393</v>
      </c>
      <c r="R154" s="5">
        <v>25447696</v>
      </c>
      <c r="S154" s="5" t="s">
        <v>394</v>
      </c>
      <c r="T154" s="31" t="s">
        <v>538</v>
      </c>
      <c r="U154" s="73" t="s">
        <v>258</v>
      </c>
    </row>
    <row r="155" spans="1:21" s="1" customFormat="1" ht="26.4" x14ac:dyDescent="0.3">
      <c r="A155" s="11" t="s">
        <v>929</v>
      </c>
      <c r="B155" s="11" t="s">
        <v>1185</v>
      </c>
      <c r="C155" s="11" t="s">
        <v>70</v>
      </c>
      <c r="D155" s="5" t="s">
        <v>22</v>
      </c>
      <c r="E155" s="11">
        <v>1</v>
      </c>
      <c r="F155" s="11" t="s">
        <v>1105</v>
      </c>
      <c r="G155" s="11" t="s">
        <v>23</v>
      </c>
      <c r="H155" s="11" t="s">
        <v>24</v>
      </c>
      <c r="I155" s="11" t="s">
        <v>25</v>
      </c>
      <c r="J155" s="11" t="s">
        <v>26</v>
      </c>
      <c r="K155" s="50">
        <v>43005</v>
      </c>
      <c r="L155" s="50">
        <v>46076</v>
      </c>
      <c r="M155" s="5" t="s">
        <v>1133</v>
      </c>
      <c r="N155" s="11">
        <v>681463</v>
      </c>
      <c r="O155" s="55">
        <f t="shared" si="2"/>
        <v>681463</v>
      </c>
      <c r="P155" s="5" t="s">
        <v>73</v>
      </c>
      <c r="Q155" s="43" t="s">
        <v>393</v>
      </c>
      <c r="R155" s="5">
        <v>25447696</v>
      </c>
      <c r="S155" s="5" t="s">
        <v>394</v>
      </c>
      <c r="T155" s="31"/>
      <c r="U155" s="73" t="s">
        <v>254</v>
      </c>
    </row>
    <row r="156" spans="1:21" s="1" customFormat="1" ht="52.8" x14ac:dyDescent="0.3">
      <c r="A156" s="11" t="s">
        <v>924</v>
      </c>
      <c r="B156" s="11" t="s">
        <v>249</v>
      </c>
      <c r="C156" s="11" t="s">
        <v>242</v>
      </c>
      <c r="D156" s="5" t="s">
        <v>22</v>
      </c>
      <c r="E156" s="11">
        <v>1</v>
      </c>
      <c r="F156" s="11" t="s">
        <v>243</v>
      </c>
      <c r="G156" s="11" t="s">
        <v>23</v>
      </c>
      <c r="H156" s="11" t="s">
        <v>24</v>
      </c>
      <c r="I156" s="11" t="s">
        <v>25</v>
      </c>
      <c r="J156" s="11" t="s">
        <v>26</v>
      </c>
      <c r="K156" s="50">
        <v>43007</v>
      </c>
      <c r="L156" s="53">
        <v>46064</v>
      </c>
      <c r="M156" s="31" t="s">
        <v>244</v>
      </c>
      <c r="N156" s="11">
        <v>681463</v>
      </c>
      <c r="O156" s="55">
        <f t="shared" si="2"/>
        <v>681463</v>
      </c>
      <c r="P156" s="25" t="s">
        <v>73</v>
      </c>
      <c r="Q156" s="5" t="s">
        <v>245</v>
      </c>
      <c r="R156" s="5" t="s">
        <v>246</v>
      </c>
      <c r="S156" s="5" t="s">
        <v>247</v>
      </c>
      <c r="T156" s="31" t="s">
        <v>32</v>
      </c>
      <c r="U156" s="73" t="s">
        <v>260</v>
      </c>
    </row>
    <row r="157" spans="1:21" s="1" customFormat="1" ht="39.6" x14ac:dyDescent="0.3">
      <c r="A157" s="11" t="s">
        <v>261</v>
      </c>
      <c r="B157" s="11" t="s">
        <v>262</v>
      </c>
      <c r="C157" s="11"/>
      <c r="D157" s="11" t="s">
        <v>49</v>
      </c>
      <c r="E157" s="11">
        <v>1</v>
      </c>
      <c r="F157" s="11" t="s">
        <v>28</v>
      </c>
      <c r="G157" s="11" t="s">
        <v>23</v>
      </c>
      <c r="H157" s="11" t="s">
        <v>24</v>
      </c>
      <c r="I157" s="11"/>
      <c r="J157" s="11" t="s">
        <v>26</v>
      </c>
      <c r="K157" s="50">
        <v>45344</v>
      </c>
      <c r="L157" s="50">
        <v>46051</v>
      </c>
      <c r="M157" s="11" t="s">
        <v>263</v>
      </c>
      <c r="N157" s="11">
        <v>185000</v>
      </c>
      <c r="O157" s="55">
        <f t="shared" si="2"/>
        <v>185000</v>
      </c>
      <c r="P157" s="11" t="s">
        <v>50</v>
      </c>
      <c r="Q157" s="78" t="s">
        <v>30</v>
      </c>
      <c r="R157" s="26">
        <v>9594357635</v>
      </c>
      <c r="S157" s="26" t="s">
        <v>31</v>
      </c>
      <c r="T157" s="11" t="s">
        <v>41</v>
      </c>
      <c r="U157" s="73"/>
    </row>
    <row r="158" spans="1:21" s="1" customFormat="1" ht="39.6" x14ac:dyDescent="0.3">
      <c r="A158" s="11" t="s">
        <v>1156</v>
      </c>
      <c r="B158" s="11" t="s">
        <v>262</v>
      </c>
      <c r="C158" s="11" t="s">
        <v>37</v>
      </c>
      <c r="D158" s="5" t="s">
        <v>22</v>
      </c>
      <c r="E158" s="11">
        <v>1</v>
      </c>
      <c r="F158" s="11" t="s">
        <v>28</v>
      </c>
      <c r="G158" s="11" t="s">
        <v>23</v>
      </c>
      <c r="H158" s="11" t="s">
        <v>24</v>
      </c>
      <c r="I158" s="11" t="s">
        <v>25</v>
      </c>
      <c r="J158" s="11" t="s">
        <v>26</v>
      </c>
      <c r="K158" s="50">
        <v>45344</v>
      </c>
      <c r="L158" s="50">
        <v>46051</v>
      </c>
      <c r="M158" s="11" t="s">
        <v>263</v>
      </c>
      <c r="N158" s="11">
        <v>185000</v>
      </c>
      <c r="O158" s="55">
        <f t="shared" si="2"/>
        <v>185000</v>
      </c>
      <c r="P158" s="25" t="s">
        <v>50</v>
      </c>
      <c r="Q158" s="47" t="s">
        <v>30</v>
      </c>
      <c r="R158" s="31">
        <v>9594357635</v>
      </c>
      <c r="S158" s="31" t="s">
        <v>31</v>
      </c>
      <c r="T158" s="11" t="s">
        <v>41</v>
      </c>
      <c r="U158" s="73"/>
    </row>
    <row r="159" spans="1:21" s="1" customFormat="1" ht="39.6" x14ac:dyDescent="0.3">
      <c r="A159" s="11" t="s">
        <v>264</v>
      </c>
      <c r="B159" s="11" t="s">
        <v>262</v>
      </c>
      <c r="C159" s="11" t="s">
        <v>37</v>
      </c>
      <c r="D159" s="11" t="s">
        <v>265</v>
      </c>
      <c r="E159" s="11">
        <v>1</v>
      </c>
      <c r="F159" s="11" t="s">
        <v>28</v>
      </c>
      <c r="G159" s="11" t="s">
        <v>23</v>
      </c>
      <c r="H159" s="11" t="s">
        <v>24</v>
      </c>
      <c r="I159" s="11" t="s">
        <v>25</v>
      </c>
      <c r="J159" s="11" t="s">
        <v>26</v>
      </c>
      <c r="K159" s="50">
        <v>45344</v>
      </c>
      <c r="L159" s="50">
        <v>46051</v>
      </c>
      <c r="M159" s="11" t="s">
        <v>263</v>
      </c>
      <c r="N159" s="11">
        <v>185000</v>
      </c>
      <c r="O159" s="55">
        <f t="shared" si="2"/>
        <v>185000</v>
      </c>
      <c r="P159" s="11" t="s">
        <v>73</v>
      </c>
      <c r="Q159" s="79" t="s">
        <v>30</v>
      </c>
      <c r="R159" s="28">
        <v>9594357635</v>
      </c>
      <c r="S159" s="28" t="s">
        <v>31</v>
      </c>
      <c r="T159" s="11" t="s">
        <v>41</v>
      </c>
      <c r="U159" s="73"/>
    </row>
    <row r="160" spans="1:21" s="1" customFormat="1" ht="39.6" x14ac:dyDescent="0.3">
      <c r="A160" s="11" t="s">
        <v>266</v>
      </c>
      <c r="B160" s="11" t="s">
        <v>262</v>
      </c>
      <c r="C160" s="11" t="s">
        <v>37</v>
      </c>
      <c r="D160" s="11" t="s">
        <v>265</v>
      </c>
      <c r="E160" s="11">
        <v>1</v>
      </c>
      <c r="F160" s="11" t="s">
        <v>28</v>
      </c>
      <c r="G160" s="11" t="s">
        <v>23</v>
      </c>
      <c r="H160" s="11" t="s">
        <v>24</v>
      </c>
      <c r="I160" s="11" t="s">
        <v>25</v>
      </c>
      <c r="J160" s="11" t="s">
        <v>26</v>
      </c>
      <c r="K160" s="50">
        <v>45344</v>
      </c>
      <c r="L160" s="50">
        <v>46051</v>
      </c>
      <c r="M160" s="11" t="s">
        <v>263</v>
      </c>
      <c r="N160" s="11">
        <v>185000</v>
      </c>
      <c r="O160" s="55">
        <f t="shared" si="2"/>
        <v>185000</v>
      </c>
      <c r="P160" s="11" t="s">
        <v>73</v>
      </c>
      <c r="Q160" s="79" t="s">
        <v>30</v>
      </c>
      <c r="R160" s="28">
        <v>9594357635</v>
      </c>
      <c r="S160" s="28" t="s">
        <v>31</v>
      </c>
      <c r="T160" s="11" t="s">
        <v>41</v>
      </c>
      <c r="U160" s="73"/>
    </row>
    <row r="161" spans="1:21" s="1" customFormat="1" ht="39.6" x14ac:dyDescent="0.3">
      <c r="A161" s="11" t="s">
        <v>267</v>
      </c>
      <c r="B161" s="11" t="s">
        <v>262</v>
      </c>
      <c r="C161" s="11" t="s">
        <v>37</v>
      </c>
      <c r="D161" s="11" t="s">
        <v>265</v>
      </c>
      <c r="E161" s="11">
        <v>1</v>
      </c>
      <c r="F161" s="11" t="s">
        <v>28</v>
      </c>
      <c r="G161" s="11" t="s">
        <v>23</v>
      </c>
      <c r="H161" s="11" t="s">
        <v>24</v>
      </c>
      <c r="I161" s="11" t="s">
        <v>25</v>
      </c>
      <c r="J161" s="11" t="s">
        <v>26</v>
      </c>
      <c r="K161" s="50">
        <v>45344</v>
      </c>
      <c r="L161" s="50">
        <v>46051</v>
      </c>
      <c r="M161" s="11" t="s">
        <v>263</v>
      </c>
      <c r="N161" s="11">
        <v>185000</v>
      </c>
      <c r="O161" s="55">
        <f t="shared" si="2"/>
        <v>185000</v>
      </c>
      <c r="P161" s="11" t="s">
        <v>73</v>
      </c>
      <c r="Q161" s="79" t="s">
        <v>30</v>
      </c>
      <c r="R161" s="28">
        <v>9594357635</v>
      </c>
      <c r="S161" s="28" t="s">
        <v>31</v>
      </c>
      <c r="T161" s="11" t="s">
        <v>41</v>
      </c>
      <c r="U161" s="73"/>
    </row>
    <row r="162" spans="1:21" s="1" customFormat="1" ht="39.6" x14ac:dyDescent="0.3">
      <c r="A162" s="11" t="s">
        <v>268</v>
      </c>
      <c r="B162" s="11" t="s">
        <v>262</v>
      </c>
      <c r="C162" s="11" t="s">
        <v>37</v>
      </c>
      <c r="D162" s="11" t="s">
        <v>265</v>
      </c>
      <c r="E162" s="11">
        <v>1</v>
      </c>
      <c r="F162" s="11" t="s">
        <v>28</v>
      </c>
      <c r="G162" s="11" t="s">
        <v>23</v>
      </c>
      <c r="H162" s="11" t="s">
        <v>24</v>
      </c>
      <c r="I162" s="11" t="s">
        <v>25</v>
      </c>
      <c r="J162" s="11" t="s">
        <v>26</v>
      </c>
      <c r="K162" s="50">
        <v>45344</v>
      </c>
      <c r="L162" s="50">
        <v>46051</v>
      </c>
      <c r="M162" s="11" t="s">
        <v>263</v>
      </c>
      <c r="N162" s="11">
        <v>185000</v>
      </c>
      <c r="O162" s="55">
        <f t="shared" si="2"/>
        <v>185000</v>
      </c>
      <c r="P162" s="11" t="s">
        <v>73</v>
      </c>
      <c r="Q162" s="79" t="s">
        <v>30</v>
      </c>
      <c r="R162" s="28">
        <v>9594357635</v>
      </c>
      <c r="S162" s="28" t="s">
        <v>31</v>
      </c>
      <c r="T162" s="11" t="s">
        <v>41</v>
      </c>
      <c r="U162" s="73"/>
    </row>
    <row r="163" spans="1:21" s="1" customFormat="1" ht="39.6" x14ac:dyDescent="0.3">
      <c r="A163" s="11" t="s">
        <v>269</v>
      </c>
      <c r="B163" s="11" t="s">
        <v>262</v>
      </c>
      <c r="C163" s="11" t="s">
        <v>37</v>
      </c>
      <c r="D163" s="11" t="s">
        <v>265</v>
      </c>
      <c r="E163" s="11">
        <v>1</v>
      </c>
      <c r="F163" s="11" t="s">
        <v>28</v>
      </c>
      <c r="G163" s="11" t="s">
        <v>23</v>
      </c>
      <c r="H163" s="11" t="s">
        <v>24</v>
      </c>
      <c r="I163" s="11" t="s">
        <v>25</v>
      </c>
      <c r="J163" s="11" t="s">
        <v>26</v>
      </c>
      <c r="K163" s="50">
        <v>45344</v>
      </c>
      <c r="L163" s="50">
        <v>46051</v>
      </c>
      <c r="M163" s="11" t="s">
        <v>263</v>
      </c>
      <c r="N163" s="11">
        <v>185000</v>
      </c>
      <c r="O163" s="55">
        <f t="shared" si="2"/>
        <v>185000</v>
      </c>
      <c r="P163" s="11" t="s">
        <v>73</v>
      </c>
      <c r="Q163" s="79" t="s">
        <v>30</v>
      </c>
      <c r="R163" s="28">
        <v>9594357635</v>
      </c>
      <c r="S163" s="28" t="s">
        <v>31</v>
      </c>
      <c r="T163" s="11" t="s">
        <v>41</v>
      </c>
      <c r="U163" s="73"/>
    </row>
    <row r="164" spans="1:21" s="1" customFormat="1" ht="39.6" x14ac:dyDescent="0.3">
      <c r="A164" s="11" t="s">
        <v>270</v>
      </c>
      <c r="B164" s="11" t="s">
        <v>262</v>
      </c>
      <c r="C164" s="11" t="s">
        <v>37</v>
      </c>
      <c r="D164" s="11" t="s">
        <v>265</v>
      </c>
      <c r="E164" s="11">
        <v>1</v>
      </c>
      <c r="F164" s="11" t="s">
        <v>28</v>
      </c>
      <c r="G164" s="11" t="s">
        <v>23</v>
      </c>
      <c r="H164" s="11" t="s">
        <v>24</v>
      </c>
      <c r="I164" s="11" t="s">
        <v>25</v>
      </c>
      <c r="J164" s="11" t="s">
        <v>26</v>
      </c>
      <c r="K164" s="50">
        <v>45344</v>
      </c>
      <c r="L164" s="50">
        <v>46051</v>
      </c>
      <c r="M164" s="11" t="s">
        <v>263</v>
      </c>
      <c r="N164" s="11">
        <v>185000</v>
      </c>
      <c r="O164" s="55">
        <f t="shared" si="2"/>
        <v>185000</v>
      </c>
      <c r="P164" s="11" t="s">
        <v>73</v>
      </c>
      <c r="Q164" s="79" t="s">
        <v>30</v>
      </c>
      <c r="R164" s="28">
        <v>9594357635</v>
      </c>
      <c r="S164" s="28" t="s">
        <v>31</v>
      </c>
      <c r="T164" s="11" t="s">
        <v>41</v>
      </c>
      <c r="U164" s="73"/>
    </row>
    <row r="165" spans="1:21" s="1" customFormat="1" ht="39.6" x14ac:dyDescent="0.3">
      <c r="A165" s="11" t="s">
        <v>271</v>
      </c>
      <c r="B165" s="11" t="s">
        <v>262</v>
      </c>
      <c r="C165" s="11" t="s">
        <v>37</v>
      </c>
      <c r="D165" s="11" t="s">
        <v>265</v>
      </c>
      <c r="E165" s="11">
        <v>1</v>
      </c>
      <c r="F165" s="11" t="s">
        <v>28</v>
      </c>
      <c r="G165" s="11" t="s">
        <v>23</v>
      </c>
      <c r="H165" s="11" t="s">
        <v>24</v>
      </c>
      <c r="I165" s="11" t="s">
        <v>25</v>
      </c>
      <c r="J165" s="11" t="s">
        <v>26</v>
      </c>
      <c r="K165" s="50">
        <v>45344</v>
      </c>
      <c r="L165" s="50">
        <v>46051</v>
      </c>
      <c r="M165" s="11" t="s">
        <v>263</v>
      </c>
      <c r="N165" s="11">
        <v>185000</v>
      </c>
      <c r="O165" s="55">
        <f t="shared" si="2"/>
        <v>185000</v>
      </c>
      <c r="P165" s="11" t="s">
        <v>73</v>
      </c>
      <c r="Q165" s="79" t="s">
        <v>30</v>
      </c>
      <c r="R165" s="28">
        <v>9594357635</v>
      </c>
      <c r="S165" s="28" t="s">
        <v>31</v>
      </c>
      <c r="T165" s="11" t="s">
        <v>41</v>
      </c>
      <c r="U165" s="73"/>
    </row>
    <row r="166" spans="1:21" s="1" customFormat="1" ht="39.6" x14ac:dyDescent="0.3">
      <c r="A166" s="11" t="s">
        <v>272</v>
      </c>
      <c r="B166" s="11" t="s">
        <v>262</v>
      </c>
      <c r="C166" s="11"/>
      <c r="D166" s="11" t="s">
        <v>620</v>
      </c>
      <c r="E166" s="11">
        <v>1</v>
      </c>
      <c r="F166" s="11" t="s">
        <v>28</v>
      </c>
      <c r="G166" s="11" t="s">
        <v>23</v>
      </c>
      <c r="H166" s="11" t="s">
        <v>24</v>
      </c>
      <c r="I166" s="11"/>
      <c r="J166" s="11" t="s">
        <v>26</v>
      </c>
      <c r="K166" s="50">
        <v>45344</v>
      </c>
      <c r="L166" s="50">
        <v>46051</v>
      </c>
      <c r="M166" s="11" t="s">
        <v>263</v>
      </c>
      <c r="N166" s="11">
        <v>185000</v>
      </c>
      <c r="O166" s="55">
        <f t="shared" si="2"/>
        <v>185000</v>
      </c>
      <c r="P166" s="11" t="s">
        <v>73</v>
      </c>
      <c r="Q166" s="78" t="s">
        <v>30</v>
      </c>
      <c r="R166" s="26">
        <v>9594357635</v>
      </c>
      <c r="S166" s="26" t="s">
        <v>31</v>
      </c>
      <c r="T166" s="11" t="s">
        <v>41</v>
      </c>
      <c r="U166" s="73"/>
    </row>
    <row r="167" spans="1:21" s="1" customFormat="1" ht="26.4" x14ac:dyDescent="0.3">
      <c r="A167" s="11" t="s">
        <v>273</v>
      </c>
      <c r="B167" s="11" t="s">
        <v>274</v>
      </c>
      <c r="C167" s="11" t="s">
        <v>37</v>
      </c>
      <c r="D167" s="5" t="s">
        <v>22</v>
      </c>
      <c r="E167" s="11">
        <v>1</v>
      </c>
      <c r="F167" s="11" t="s">
        <v>28</v>
      </c>
      <c r="G167" s="11" t="s">
        <v>23</v>
      </c>
      <c r="H167" s="11" t="s">
        <v>24</v>
      </c>
      <c r="I167" s="11" t="s">
        <v>25</v>
      </c>
      <c r="J167" s="11" t="s">
        <v>26</v>
      </c>
      <c r="K167" s="50">
        <v>45344</v>
      </c>
      <c r="L167" s="50">
        <v>46051</v>
      </c>
      <c r="M167" s="11" t="s">
        <v>263</v>
      </c>
      <c r="N167" s="11">
        <v>888730</v>
      </c>
      <c r="O167" s="55">
        <f t="shared" si="2"/>
        <v>888730</v>
      </c>
      <c r="P167" s="25" t="s">
        <v>50</v>
      </c>
      <c r="Q167" s="47" t="s">
        <v>30</v>
      </c>
      <c r="R167" s="31">
        <v>9594357635</v>
      </c>
      <c r="S167" s="31" t="s">
        <v>31</v>
      </c>
      <c r="T167" s="11" t="s">
        <v>41</v>
      </c>
      <c r="U167" s="73"/>
    </row>
    <row r="168" spans="1:21" s="1" customFormat="1" ht="26.4" x14ac:dyDescent="0.3">
      <c r="A168" s="11" t="s">
        <v>275</v>
      </c>
      <c r="B168" s="11" t="s">
        <v>274</v>
      </c>
      <c r="C168" s="11" t="s">
        <v>37</v>
      </c>
      <c r="D168" s="5" t="s">
        <v>22</v>
      </c>
      <c r="E168" s="11">
        <v>1</v>
      </c>
      <c r="F168" s="11" t="s">
        <v>28</v>
      </c>
      <c r="G168" s="11" t="s">
        <v>23</v>
      </c>
      <c r="H168" s="11" t="s">
        <v>24</v>
      </c>
      <c r="I168" s="11" t="s">
        <v>25</v>
      </c>
      <c r="J168" s="11" t="s">
        <v>26</v>
      </c>
      <c r="K168" s="50">
        <v>45344</v>
      </c>
      <c r="L168" s="50">
        <v>46051</v>
      </c>
      <c r="M168" s="11" t="s">
        <v>263</v>
      </c>
      <c r="N168" s="11">
        <v>888730</v>
      </c>
      <c r="O168" s="55">
        <f t="shared" si="2"/>
        <v>888730</v>
      </c>
      <c r="P168" s="25" t="s">
        <v>50</v>
      </c>
      <c r="Q168" s="47" t="s">
        <v>30</v>
      </c>
      <c r="R168" s="31">
        <v>9594357635</v>
      </c>
      <c r="S168" s="31" t="s">
        <v>31</v>
      </c>
      <c r="T168" s="11" t="s">
        <v>41</v>
      </c>
      <c r="U168" s="73"/>
    </row>
    <row r="169" spans="1:21" s="1" customFormat="1" ht="26.4" x14ac:dyDescent="0.3">
      <c r="A169" s="11" t="s">
        <v>276</v>
      </c>
      <c r="B169" s="11" t="s">
        <v>277</v>
      </c>
      <c r="C169" s="11" t="s">
        <v>37</v>
      </c>
      <c r="D169" s="5" t="s">
        <v>22</v>
      </c>
      <c r="E169" s="11">
        <v>1</v>
      </c>
      <c r="F169" s="11" t="s">
        <v>28</v>
      </c>
      <c r="G169" s="11" t="s">
        <v>23</v>
      </c>
      <c r="H169" s="11" t="s">
        <v>24</v>
      </c>
      <c r="I169" s="11" t="s">
        <v>25</v>
      </c>
      <c r="J169" s="11" t="s">
        <v>26</v>
      </c>
      <c r="K169" s="50">
        <v>45344</v>
      </c>
      <c r="L169" s="50">
        <v>46051</v>
      </c>
      <c r="M169" s="11" t="s">
        <v>263</v>
      </c>
      <c r="N169" s="11">
        <v>888730</v>
      </c>
      <c r="O169" s="55">
        <f t="shared" si="2"/>
        <v>888730</v>
      </c>
      <c r="P169" s="25" t="s">
        <v>50</v>
      </c>
      <c r="Q169" s="47" t="s">
        <v>30</v>
      </c>
      <c r="R169" s="31">
        <v>9594357635</v>
      </c>
      <c r="S169" s="31" t="s">
        <v>31</v>
      </c>
      <c r="T169" s="11" t="s">
        <v>41</v>
      </c>
      <c r="U169" s="11" t="s">
        <v>37</v>
      </c>
    </row>
    <row r="170" spans="1:21" s="1" customFormat="1" ht="26.4" x14ac:dyDescent="0.3">
      <c r="A170" s="11" t="s">
        <v>278</v>
      </c>
      <c r="B170" s="11" t="s">
        <v>279</v>
      </c>
      <c r="C170" s="11" t="s">
        <v>37</v>
      </c>
      <c r="D170" s="5" t="s">
        <v>22</v>
      </c>
      <c r="E170" s="11">
        <v>1</v>
      </c>
      <c r="F170" s="11" t="s">
        <v>28</v>
      </c>
      <c r="G170" s="11" t="s">
        <v>23</v>
      </c>
      <c r="H170" s="11" t="s">
        <v>24</v>
      </c>
      <c r="I170" s="11" t="s">
        <v>25</v>
      </c>
      <c r="J170" s="11" t="s">
        <v>26</v>
      </c>
      <c r="K170" s="50">
        <v>45344</v>
      </c>
      <c r="L170" s="50">
        <v>46051</v>
      </c>
      <c r="M170" s="11" t="s">
        <v>263</v>
      </c>
      <c r="N170" s="11">
        <v>888730</v>
      </c>
      <c r="O170" s="55">
        <f t="shared" si="2"/>
        <v>888730</v>
      </c>
      <c r="P170" s="25" t="s">
        <v>50</v>
      </c>
      <c r="Q170" s="47" t="s">
        <v>30</v>
      </c>
      <c r="R170" s="31">
        <v>9594357635</v>
      </c>
      <c r="S170" s="31" t="s">
        <v>31</v>
      </c>
      <c r="T170" s="11" t="s">
        <v>41</v>
      </c>
      <c r="U170" s="11" t="s">
        <v>37</v>
      </c>
    </row>
    <row r="171" spans="1:21" s="1" customFormat="1" ht="26.4" x14ac:dyDescent="0.3">
      <c r="A171" s="11" t="s">
        <v>280</v>
      </c>
      <c r="B171" s="11" t="s">
        <v>281</v>
      </c>
      <c r="C171" s="11" t="s">
        <v>37</v>
      </c>
      <c r="D171" s="5" t="s">
        <v>22</v>
      </c>
      <c r="E171" s="11">
        <v>1</v>
      </c>
      <c r="F171" s="11" t="s">
        <v>28</v>
      </c>
      <c r="G171" s="11" t="s">
        <v>23</v>
      </c>
      <c r="H171" s="11" t="s">
        <v>24</v>
      </c>
      <c r="I171" s="11" t="s">
        <v>25</v>
      </c>
      <c r="J171" s="11" t="s">
        <v>26</v>
      </c>
      <c r="K171" s="50">
        <v>45344</v>
      </c>
      <c r="L171" s="50">
        <v>46051</v>
      </c>
      <c r="M171" s="11" t="s">
        <v>263</v>
      </c>
      <c r="N171" s="11">
        <v>888730</v>
      </c>
      <c r="O171" s="55">
        <f t="shared" si="2"/>
        <v>888730</v>
      </c>
      <c r="P171" s="25" t="s">
        <v>50</v>
      </c>
      <c r="Q171" s="47" t="s">
        <v>30</v>
      </c>
      <c r="R171" s="31">
        <v>9594357635</v>
      </c>
      <c r="S171" s="31" t="s">
        <v>31</v>
      </c>
      <c r="T171" s="11" t="s">
        <v>41</v>
      </c>
      <c r="U171" s="11" t="s">
        <v>37</v>
      </c>
    </row>
    <row r="172" spans="1:21" s="1" customFormat="1" ht="26.4" x14ac:dyDescent="0.3">
      <c r="A172" s="11" t="s">
        <v>282</v>
      </c>
      <c r="B172" s="11" t="s">
        <v>283</v>
      </c>
      <c r="C172" s="11" t="s">
        <v>37</v>
      </c>
      <c r="D172" s="5" t="s">
        <v>22</v>
      </c>
      <c r="E172" s="11">
        <v>1</v>
      </c>
      <c r="F172" s="11" t="s">
        <v>28</v>
      </c>
      <c r="G172" s="11" t="s">
        <v>23</v>
      </c>
      <c r="H172" s="11" t="s">
        <v>24</v>
      </c>
      <c r="I172" s="11" t="s">
        <v>25</v>
      </c>
      <c r="J172" s="11" t="s">
        <v>26</v>
      </c>
      <c r="K172" s="50">
        <v>45344</v>
      </c>
      <c r="L172" s="50">
        <v>46051</v>
      </c>
      <c r="M172" s="11" t="s">
        <v>263</v>
      </c>
      <c r="N172" s="11">
        <v>888730</v>
      </c>
      <c r="O172" s="55">
        <f t="shared" si="2"/>
        <v>888730</v>
      </c>
      <c r="P172" s="25" t="s">
        <v>50</v>
      </c>
      <c r="Q172" s="47" t="s">
        <v>30</v>
      </c>
      <c r="R172" s="31">
        <v>9594357635</v>
      </c>
      <c r="S172" s="31" t="s">
        <v>31</v>
      </c>
      <c r="T172" s="11" t="s">
        <v>41</v>
      </c>
      <c r="U172" s="11" t="s">
        <v>37</v>
      </c>
    </row>
    <row r="173" spans="1:21" s="1" customFormat="1" ht="26.4" x14ac:dyDescent="0.3">
      <c r="A173" s="5" t="s">
        <v>284</v>
      </c>
      <c r="B173" s="11" t="s">
        <v>274</v>
      </c>
      <c r="C173" s="11" t="s">
        <v>37</v>
      </c>
      <c r="D173" s="5" t="s">
        <v>22</v>
      </c>
      <c r="E173" s="5">
        <v>1</v>
      </c>
      <c r="F173" s="11" t="s">
        <v>28</v>
      </c>
      <c r="G173" s="5" t="s">
        <v>23</v>
      </c>
      <c r="H173" s="11" t="s">
        <v>24</v>
      </c>
      <c r="I173" s="5" t="s">
        <v>25</v>
      </c>
      <c r="J173" s="5" t="s">
        <v>26</v>
      </c>
      <c r="K173" s="50">
        <v>45344</v>
      </c>
      <c r="L173" s="50">
        <v>46051</v>
      </c>
      <c r="M173" s="11" t="s">
        <v>263</v>
      </c>
      <c r="N173" s="11">
        <v>888730</v>
      </c>
      <c r="O173" s="55">
        <f t="shared" si="2"/>
        <v>888730</v>
      </c>
      <c r="P173" s="25" t="s">
        <v>50</v>
      </c>
      <c r="Q173" s="47" t="s">
        <v>30</v>
      </c>
      <c r="R173" s="31">
        <v>9594357635</v>
      </c>
      <c r="S173" s="31" t="s">
        <v>31</v>
      </c>
      <c r="T173" s="5" t="s">
        <v>41</v>
      </c>
      <c r="U173" s="11" t="s">
        <v>37</v>
      </c>
    </row>
    <row r="174" spans="1:21" s="1" customFormat="1" ht="26.4" x14ac:dyDescent="0.3">
      <c r="A174" s="5" t="s">
        <v>285</v>
      </c>
      <c r="B174" s="11" t="s">
        <v>274</v>
      </c>
      <c r="C174" s="11" t="s">
        <v>37</v>
      </c>
      <c r="D174" s="5" t="s">
        <v>22</v>
      </c>
      <c r="E174" s="5">
        <v>1</v>
      </c>
      <c r="F174" s="11" t="s">
        <v>28</v>
      </c>
      <c r="G174" s="5" t="s">
        <v>23</v>
      </c>
      <c r="H174" s="11" t="s">
        <v>24</v>
      </c>
      <c r="I174" s="5" t="s">
        <v>25</v>
      </c>
      <c r="J174" s="5" t="s">
        <v>26</v>
      </c>
      <c r="K174" s="50">
        <v>45344</v>
      </c>
      <c r="L174" s="50">
        <v>46051</v>
      </c>
      <c r="M174" s="11" t="s">
        <v>263</v>
      </c>
      <c r="N174" s="11">
        <v>888730</v>
      </c>
      <c r="O174" s="55">
        <f t="shared" si="2"/>
        <v>888730</v>
      </c>
      <c r="P174" s="25" t="s">
        <v>50</v>
      </c>
      <c r="Q174" s="47" t="s">
        <v>30</v>
      </c>
      <c r="R174" s="31">
        <v>9594357635</v>
      </c>
      <c r="S174" s="31" t="s">
        <v>31</v>
      </c>
      <c r="T174" s="5" t="s">
        <v>41</v>
      </c>
      <c r="U174" s="11" t="s">
        <v>37</v>
      </c>
    </row>
    <row r="175" spans="1:21" s="1" customFormat="1" ht="14.4" x14ac:dyDescent="0.3">
      <c r="A175" s="5" t="s">
        <v>286</v>
      </c>
      <c r="B175" s="5" t="s">
        <v>287</v>
      </c>
      <c r="C175" s="11" t="s">
        <v>37</v>
      </c>
      <c r="D175" s="5" t="s">
        <v>22</v>
      </c>
      <c r="E175" s="5">
        <v>1</v>
      </c>
      <c r="F175" s="11" t="s">
        <v>28</v>
      </c>
      <c r="G175" s="5" t="s">
        <v>23</v>
      </c>
      <c r="H175" s="11" t="s">
        <v>24</v>
      </c>
      <c r="I175" s="5" t="s">
        <v>25</v>
      </c>
      <c r="J175" s="5" t="s">
        <v>26</v>
      </c>
      <c r="K175" s="50">
        <v>45344</v>
      </c>
      <c r="L175" s="50">
        <v>46051</v>
      </c>
      <c r="M175" s="11" t="s">
        <v>263</v>
      </c>
      <c r="N175" s="11">
        <v>888730</v>
      </c>
      <c r="O175" s="55">
        <f t="shared" si="2"/>
        <v>888730</v>
      </c>
      <c r="P175" s="25" t="s">
        <v>50</v>
      </c>
      <c r="Q175" s="47" t="s">
        <v>30</v>
      </c>
      <c r="R175" s="31">
        <v>9594357635</v>
      </c>
      <c r="S175" s="31" t="s">
        <v>31</v>
      </c>
      <c r="T175" s="5" t="s">
        <v>41</v>
      </c>
      <c r="U175" s="11" t="s">
        <v>37</v>
      </c>
    </row>
    <row r="176" spans="1:21" s="1" customFormat="1" ht="14.4" x14ac:dyDescent="0.3">
      <c r="A176" s="5" t="s">
        <v>286</v>
      </c>
      <c r="B176" s="5" t="s">
        <v>288</v>
      </c>
      <c r="C176" s="11" t="s">
        <v>37</v>
      </c>
      <c r="D176" s="5" t="s">
        <v>22</v>
      </c>
      <c r="E176" s="5">
        <v>1</v>
      </c>
      <c r="F176" s="11" t="s">
        <v>28</v>
      </c>
      <c r="G176" s="5" t="s">
        <v>23</v>
      </c>
      <c r="H176" s="11" t="s">
        <v>24</v>
      </c>
      <c r="I176" s="5" t="s">
        <v>25</v>
      </c>
      <c r="J176" s="5" t="s">
        <v>26</v>
      </c>
      <c r="K176" s="50">
        <v>45344</v>
      </c>
      <c r="L176" s="50">
        <v>46051</v>
      </c>
      <c r="M176" s="11" t="s">
        <v>263</v>
      </c>
      <c r="N176" s="11">
        <v>888730</v>
      </c>
      <c r="O176" s="55">
        <f t="shared" si="2"/>
        <v>888730</v>
      </c>
      <c r="P176" s="25" t="s">
        <v>50</v>
      </c>
      <c r="Q176" s="47" t="s">
        <v>30</v>
      </c>
      <c r="R176" s="31">
        <v>9594357635</v>
      </c>
      <c r="S176" s="31" t="s">
        <v>31</v>
      </c>
      <c r="T176" s="5" t="s">
        <v>41</v>
      </c>
      <c r="U176" s="11" t="s">
        <v>37</v>
      </c>
    </row>
    <row r="177" spans="1:21" s="1" customFormat="1" ht="26.4" x14ac:dyDescent="0.3">
      <c r="A177" s="11" t="s">
        <v>289</v>
      </c>
      <c r="B177" s="11" t="s">
        <v>290</v>
      </c>
      <c r="C177" s="11" t="s">
        <v>37</v>
      </c>
      <c r="D177" s="5" t="s">
        <v>22</v>
      </c>
      <c r="E177" s="11">
        <v>1</v>
      </c>
      <c r="F177" s="11" t="s">
        <v>28</v>
      </c>
      <c r="G177" s="11" t="s">
        <v>23</v>
      </c>
      <c r="H177" s="11" t="s">
        <v>24</v>
      </c>
      <c r="I177" s="11" t="s">
        <v>25</v>
      </c>
      <c r="J177" s="11" t="s">
        <v>26</v>
      </c>
      <c r="K177" s="50">
        <v>45344</v>
      </c>
      <c r="L177" s="50">
        <v>46051</v>
      </c>
      <c r="M177" s="11" t="s">
        <v>263</v>
      </c>
      <c r="N177" s="11">
        <v>888730</v>
      </c>
      <c r="O177" s="55">
        <f t="shared" si="2"/>
        <v>888730</v>
      </c>
      <c r="P177" s="25" t="s">
        <v>50</v>
      </c>
      <c r="Q177" s="47" t="s">
        <v>30</v>
      </c>
      <c r="R177" s="31">
        <v>9594357635</v>
      </c>
      <c r="S177" s="31" t="s">
        <v>31</v>
      </c>
      <c r="T177" s="11" t="s">
        <v>41</v>
      </c>
      <c r="U177" s="11" t="s">
        <v>37</v>
      </c>
    </row>
    <row r="178" spans="1:21" s="1" customFormat="1" ht="26.4" x14ac:dyDescent="0.3">
      <c r="A178" s="11" t="s">
        <v>291</v>
      </c>
      <c r="B178" s="11" t="s">
        <v>292</v>
      </c>
      <c r="C178" s="11" t="s">
        <v>37</v>
      </c>
      <c r="D178" s="5" t="s">
        <v>22</v>
      </c>
      <c r="E178" s="11">
        <v>1</v>
      </c>
      <c r="F178" s="11" t="s">
        <v>28</v>
      </c>
      <c r="G178" s="11" t="s">
        <v>23</v>
      </c>
      <c r="H178" s="11" t="s">
        <v>24</v>
      </c>
      <c r="I178" s="11" t="s">
        <v>25</v>
      </c>
      <c r="J178" s="11" t="s">
        <v>26</v>
      </c>
      <c r="K178" s="50">
        <v>45344</v>
      </c>
      <c r="L178" s="50">
        <v>46051</v>
      </c>
      <c r="M178" s="11" t="s">
        <v>263</v>
      </c>
      <c r="N178" s="11">
        <v>888730</v>
      </c>
      <c r="O178" s="55">
        <f t="shared" si="2"/>
        <v>888730</v>
      </c>
      <c r="P178" s="25" t="s">
        <v>50</v>
      </c>
      <c r="Q178" s="47" t="s">
        <v>30</v>
      </c>
      <c r="R178" s="31">
        <v>9594357635</v>
      </c>
      <c r="S178" s="31" t="s">
        <v>31</v>
      </c>
      <c r="T178" s="11" t="s">
        <v>41</v>
      </c>
      <c r="U178" s="11" t="s">
        <v>37</v>
      </c>
    </row>
    <row r="179" spans="1:21" s="1" customFormat="1" ht="26.4" x14ac:dyDescent="0.3">
      <c r="A179" s="11" t="s">
        <v>293</v>
      </c>
      <c r="B179" s="11" t="s">
        <v>294</v>
      </c>
      <c r="C179" s="11" t="s">
        <v>37</v>
      </c>
      <c r="D179" s="5" t="s">
        <v>22</v>
      </c>
      <c r="E179" s="11">
        <v>1</v>
      </c>
      <c r="F179" s="11" t="s">
        <v>28</v>
      </c>
      <c r="G179" s="11" t="s">
        <v>23</v>
      </c>
      <c r="H179" s="11" t="s">
        <v>24</v>
      </c>
      <c r="I179" s="11" t="s">
        <v>25</v>
      </c>
      <c r="J179" s="11" t="s">
        <v>26</v>
      </c>
      <c r="K179" s="50">
        <v>45344</v>
      </c>
      <c r="L179" s="50">
        <v>46051</v>
      </c>
      <c r="M179" s="11" t="s">
        <v>263</v>
      </c>
      <c r="N179" s="11">
        <v>888730</v>
      </c>
      <c r="O179" s="55">
        <f t="shared" si="2"/>
        <v>888730</v>
      </c>
      <c r="P179" s="25" t="s">
        <v>50</v>
      </c>
      <c r="Q179" s="47" t="s">
        <v>30</v>
      </c>
      <c r="R179" s="31">
        <v>9594357635</v>
      </c>
      <c r="S179" s="31" t="s">
        <v>31</v>
      </c>
      <c r="T179" s="11" t="s">
        <v>41</v>
      </c>
      <c r="U179" s="11" t="s">
        <v>37</v>
      </c>
    </row>
    <row r="180" spans="1:21" s="1" customFormat="1" ht="26.4" x14ac:dyDescent="0.3">
      <c r="A180" s="11" t="s">
        <v>295</v>
      </c>
      <c r="B180" s="5" t="s">
        <v>296</v>
      </c>
      <c r="C180" s="11" t="s">
        <v>37</v>
      </c>
      <c r="D180" s="5" t="s">
        <v>22</v>
      </c>
      <c r="E180" s="11">
        <v>1</v>
      </c>
      <c r="F180" s="11" t="s">
        <v>1151</v>
      </c>
      <c r="G180" s="11" t="s">
        <v>23</v>
      </c>
      <c r="H180" s="11" t="s">
        <v>1035</v>
      </c>
      <c r="I180" s="11" t="s">
        <v>25</v>
      </c>
      <c r="J180" s="11" t="s">
        <v>26</v>
      </c>
      <c r="K180" s="50">
        <v>44938</v>
      </c>
      <c r="L180" s="50">
        <v>46073</v>
      </c>
      <c r="M180" s="11" t="s">
        <v>1150</v>
      </c>
      <c r="N180" s="11">
        <v>56261</v>
      </c>
      <c r="O180" s="55">
        <f t="shared" si="2"/>
        <v>56261</v>
      </c>
      <c r="P180" s="25" t="s">
        <v>50</v>
      </c>
      <c r="Q180" s="43" t="s">
        <v>1152</v>
      </c>
      <c r="R180" s="5">
        <v>9819907456</v>
      </c>
      <c r="S180" s="5" t="s">
        <v>1153</v>
      </c>
      <c r="T180" s="11" t="s">
        <v>32</v>
      </c>
      <c r="U180" s="11" t="s">
        <v>37</v>
      </c>
    </row>
    <row r="181" spans="1:21" s="1" customFormat="1" ht="26.4" x14ac:dyDescent="0.3">
      <c r="A181" s="11" t="s">
        <v>297</v>
      </c>
      <c r="B181" s="5" t="s">
        <v>298</v>
      </c>
      <c r="C181" s="11" t="s">
        <v>37</v>
      </c>
      <c r="D181" s="5" t="s">
        <v>22</v>
      </c>
      <c r="E181" s="11">
        <v>1</v>
      </c>
      <c r="F181" s="11" t="s">
        <v>1151</v>
      </c>
      <c r="G181" s="11" t="s">
        <v>23</v>
      </c>
      <c r="H181" s="11" t="s">
        <v>1035</v>
      </c>
      <c r="I181" s="11" t="s">
        <v>25</v>
      </c>
      <c r="J181" s="11" t="s">
        <v>26</v>
      </c>
      <c r="K181" s="50">
        <v>44938</v>
      </c>
      <c r="L181" s="50">
        <v>46073</v>
      </c>
      <c r="M181" s="11" t="s">
        <v>1150</v>
      </c>
      <c r="N181" s="11">
        <v>33474</v>
      </c>
      <c r="O181" s="55">
        <f t="shared" si="2"/>
        <v>33474</v>
      </c>
      <c r="P181" s="25" t="s">
        <v>50</v>
      </c>
      <c r="Q181" s="43" t="s">
        <v>1152</v>
      </c>
      <c r="R181" s="5">
        <v>9819907456</v>
      </c>
      <c r="S181" s="5" t="s">
        <v>1153</v>
      </c>
      <c r="T181" s="11" t="s">
        <v>32</v>
      </c>
      <c r="U181" s="11" t="s">
        <v>37</v>
      </c>
    </row>
    <row r="182" spans="1:21" s="1" customFormat="1" ht="26.4" x14ac:dyDescent="0.3">
      <c r="A182" s="11" t="s">
        <v>299</v>
      </c>
      <c r="B182" s="5" t="s">
        <v>296</v>
      </c>
      <c r="C182" s="11" t="s">
        <v>37</v>
      </c>
      <c r="D182" s="5" t="s">
        <v>22</v>
      </c>
      <c r="E182" s="11">
        <v>1</v>
      </c>
      <c r="F182" s="11" t="s">
        <v>1151</v>
      </c>
      <c r="G182" s="11" t="s">
        <v>23</v>
      </c>
      <c r="H182" s="11" t="s">
        <v>1035</v>
      </c>
      <c r="I182" s="11" t="s">
        <v>25</v>
      </c>
      <c r="J182" s="11" t="s">
        <v>26</v>
      </c>
      <c r="K182" s="50">
        <v>44938</v>
      </c>
      <c r="L182" s="50">
        <v>46073</v>
      </c>
      <c r="M182" s="11" t="s">
        <v>1150</v>
      </c>
      <c r="N182" s="11">
        <v>56261</v>
      </c>
      <c r="O182" s="55">
        <f t="shared" si="2"/>
        <v>56261</v>
      </c>
      <c r="P182" s="25" t="s">
        <v>50</v>
      </c>
      <c r="Q182" s="43" t="s">
        <v>1152</v>
      </c>
      <c r="R182" s="5">
        <v>9819907456</v>
      </c>
      <c r="S182" s="5" t="s">
        <v>1153</v>
      </c>
      <c r="T182" s="11" t="s">
        <v>32</v>
      </c>
      <c r="U182" s="11" t="s">
        <v>37</v>
      </c>
    </row>
    <row r="183" spans="1:21" s="1" customFormat="1" ht="26.4" x14ac:dyDescent="0.3">
      <c r="A183" s="11" t="s">
        <v>300</v>
      </c>
      <c r="B183" s="5" t="s">
        <v>298</v>
      </c>
      <c r="C183" s="11" t="s">
        <v>37</v>
      </c>
      <c r="D183" s="5" t="s">
        <v>22</v>
      </c>
      <c r="E183" s="11">
        <v>1</v>
      </c>
      <c r="F183" s="11" t="s">
        <v>1151</v>
      </c>
      <c r="G183" s="11" t="s">
        <v>23</v>
      </c>
      <c r="H183" s="11" t="s">
        <v>1035</v>
      </c>
      <c r="I183" s="11" t="s">
        <v>25</v>
      </c>
      <c r="J183" s="11" t="s">
        <v>26</v>
      </c>
      <c r="K183" s="50">
        <v>44938</v>
      </c>
      <c r="L183" s="50">
        <v>46073</v>
      </c>
      <c r="M183" s="11" t="s">
        <v>1150</v>
      </c>
      <c r="N183" s="11">
        <v>33474</v>
      </c>
      <c r="O183" s="55">
        <f t="shared" si="2"/>
        <v>33474</v>
      </c>
      <c r="P183" s="25" t="s">
        <v>50</v>
      </c>
      <c r="Q183" s="43" t="s">
        <v>1152</v>
      </c>
      <c r="R183" s="5">
        <v>9819907456</v>
      </c>
      <c r="S183" s="5" t="s">
        <v>1153</v>
      </c>
      <c r="T183" s="11" t="s">
        <v>32</v>
      </c>
      <c r="U183" s="11" t="s">
        <v>37</v>
      </c>
    </row>
    <row r="184" spans="1:21" s="1" customFormat="1" ht="26.4" x14ac:dyDescent="0.3">
      <c r="A184" s="11" t="s">
        <v>301</v>
      </c>
      <c r="B184" s="5" t="s">
        <v>296</v>
      </c>
      <c r="C184" s="11" t="s">
        <v>37</v>
      </c>
      <c r="D184" s="5" t="s">
        <v>22</v>
      </c>
      <c r="E184" s="11">
        <v>1</v>
      </c>
      <c r="F184" s="11" t="s">
        <v>1151</v>
      </c>
      <c r="G184" s="11" t="s">
        <v>23</v>
      </c>
      <c r="H184" s="11" t="s">
        <v>1035</v>
      </c>
      <c r="I184" s="11" t="s">
        <v>25</v>
      </c>
      <c r="J184" s="11" t="s">
        <v>26</v>
      </c>
      <c r="K184" s="50">
        <v>44938</v>
      </c>
      <c r="L184" s="50">
        <v>46073</v>
      </c>
      <c r="M184" s="11" t="s">
        <v>1150</v>
      </c>
      <c r="N184" s="11">
        <v>56261</v>
      </c>
      <c r="O184" s="55">
        <f t="shared" si="2"/>
        <v>56261</v>
      </c>
      <c r="P184" s="25" t="s">
        <v>50</v>
      </c>
      <c r="Q184" s="43" t="s">
        <v>1152</v>
      </c>
      <c r="R184" s="5">
        <v>9819907456</v>
      </c>
      <c r="S184" s="5" t="s">
        <v>1153</v>
      </c>
      <c r="T184" s="11" t="s">
        <v>32</v>
      </c>
      <c r="U184" s="11" t="s">
        <v>37</v>
      </c>
    </row>
    <row r="185" spans="1:21" s="1" customFormat="1" ht="26.4" x14ac:dyDescent="0.3">
      <c r="A185" s="11" t="s">
        <v>302</v>
      </c>
      <c r="B185" s="5" t="s">
        <v>298</v>
      </c>
      <c r="C185" s="11" t="s">
        <v>37</v>
      </c>
      <c r="D185" s="5" t="s">
        <v>22</v>
      </c>
      <c r="E185" s="11">
        <v>1</v>
      </c>
      <c r="F185" s="11" t="s">
        <v>1151</v>
      </c>
      <c r="G185" s="11" t="s">
        <v>23</v>
      </c>
      <c r="H185" s="11" t="s">
        <v>1035</v>
      </c>
      <c r="I185" s="11" t="s">
        <v>25</v>
      </c>
      <c r="J185" s="11" t="s">
        <v>26</v>
      </c>
      <c r="K185" s="50">
        <v>44938</v>
      </c>
      <c r="L185" s="50">
        <v>46073</v>
      </c>
      <c r="M185" s="11" t="s">
        <v>1150</v>
      </c>
      <c r="N185" s="11">
        <v>33474</v>
      </c>
      <c r="O185" s="55">
        <f t="shared" si="2"/>
        <v>33474</v>
      </c>
      <c r="P185" s="25" t="s">
        <v>50</v>
      </c>
      <c r="Q185" s="43" t="s">
        <v>1152</v>
      </c>
      <c r="R185" s="5">
        <v>9819907456</v>
      </c>
      <c r="S185" s="5" t="s">
        <v>1153</v>
      </c>
      <c r="T185" s="11" t="s">
        <v>32</v>
      </c>
      <c r="U185" s="11" t="s">
        <v>37</v>
      </c>
    </row>
    <row r="186" spans="1:21" s="1" customFormat="1" ht="26.4" x14ac:dyDescent="0.3">
      <c r="A186" s="11" t="s">
        <v>303</v>
      </c>
      <c r="B186" s="5" t="s">
        <v>296</v>
      </c>
      <c r="C186" s="11" t="s">
        <v>37</v>
      </c>
      <c r="D186" s="5" t="s">
        <v>22</v>
      </c>
      <c r="E186" s="11">
        <v>1</v>
      </c>
      <c r="F186" s="11" t="s">
        <v>1151</v>
      </c>
      <c r="G186" s="11" t="s">
        <v>23</v>
      </c>
      <c r="H186" s="11" t="s">
        <v>1035</v>
      </c>
      <c r="I186" s="11" t="s">
        <v>25</v>
      </c>
      <c r="J186" s="11" t="s">
        <v>26</v>
      </c>
      <c r="K186" s="50">
        <v>44938</v>
      </c>
      <c r="L186" s="50">
        <v>46073</v>
      </c>
      <c r="M186" s="11" t="s">
        <v>1150</v>
      </c>
      <c r="N186" s="11">
        <v>56261</v>
      </c>
      <c r="O186" s="55">
        <f t="shared" si="2"/>
        <v>56261</v>
      </c>
      <c r="P186" s="25" t="s">
        <v>50</v>
      </c>
      <c r="Q186" s="43" t="s">
        <v>1152</v>
      </c>
      <c r="R186" s="5">
        <v>9819907456</v>
      </c>
      <c r="S186" s="5" t="s">
        <v>1153</v>
      </c>
      <c r="T186" s="11" t="s">
        <v>32</v>
      </c>
      <c r="U186" s="11" t="s">
        <v>37</v>
      </c>
    </row>
    <row r="187" spans="1:21" s="1" customFormat="1" ht="26.4" x14ac:dyDescent="0.3">
      <c r="A187" s="11" t="s">
        <v>304</v>
      </c>
      <c r="B187" s="5" t="s">
        <v>298</v>
      </c>
      <c r="C187" s="11" t="s">
        <v>37</v>
      </c>
      <c r="D187" s="5" t="s">
        <v>22</v>
      </c>
      <c r="E187" s="11">
        <v>1</v>
      </c>
      <c r="F187" s="11" t="s">
        <v>1151</v>
      </c>
      <c r="G187" s="11" t="s">
        <v>23</v>
      </c>
      <c r="H187" s="11" t="s">
        <v>1035</v>
      </c>
      <c r="I187" s="11" t="s">
        <v>25</v>
      </c>
      <c r="J187" s="11" t="s">
        <v>26</v>
      </c>
      <c r="K187" s="50">
        <v>44938</v>
      </c>
      <c r="L187" s="50">
        <v>46073</v>
      </c>
      <c r="M187" s="11" t="s">
        <v>1150</v>
      </c>
      <c r="N187" s="11">
        <v>33474</v>
      </c>
      <c r="O187" s="55">
        <f t="shared" si="2"/>
        <v>33474</v>
      </c>
      <c r="P187" s="25" t="s">
        <v>50</v>
      </c>
      <c r="Q187" s="43" t="s">
        <v>1152</v>
      </c>
      <c r="R187" s="5">
        <v>9819907456</v>
      </c>
      <c r="S187" s="5" t="s">
        <v>1153</v>
      </c>
      <c r="T187" s="11" t="s">
        <v>32</v>
      </c>
      <c r="U187" s="11" t="s">
        <v>37</v>
      </c>
    </row>
    <row r="188" spans="1:21" s="1" customFormat="1" ht="26.4" x14ac:dyDescent="0.3">
      <c r="A188" s="11" t="s">
        <v>305</v>
      </c>
      <c r="B188" s="5" t="s">
        <v>296</v>
      </c>
      <c r="C188" s="11" t="s">
        <v>37</v>
      </c>
      <c r="D188" s="5" t="s">
        <v>22</v>
      </c>
      <c r="E188" s="11">
        <v>1</v>
      </c>
      <c r="F188" s="11" t="s">
        <v>1151</v>
      </c>
      <c r="G188" s="11" t="s">
        <v>23</v>
      </c>
      <c r="H188" s="11" t="s">
        <v>1035</v>
      </c>
      <c r="I188" s="11" t="s">
        <v>25</v>
      </c>
      <c r="J188" s="11" t="s">
        <v>26</v>
      </c>
      <c r="K188" s="50">
        <v>44938</v>
      </c>
      <c r="L188" s="50">
        <v>46073</v>
      </c>
      <c r="M188" s="11" t="s">
        <v>1150</v>
      </c>
      <c r="N188" s="11">
        <v>56261</v>
      </c>
      <c r="O188" s="55">
        <f t="shared" si="2"/>
        <v>56261</v>
      </c>
      <c r="P188" s="25" t="s">
        <v>50</v>
      </c>
      <c r="Q188" s="43" t="s">
        <v>1152</v>
      </c>
      <c r="R188" s="5">
        <v>9819907456</v>
      </c>
      <c r="S188" s="5" t="s">
        <v>1153</v>
      </c>
      <c r="T188" s="11" t="s">
        <v>32</v>
      </c>
      <c r="U188" s="11" t="s">
        <v>37</v>
      </c>
    </row>
    <row r="189" spans="1:21" s="1" customFormat="1" ht="26.4" x14ac:dyDescent="0.3">
      <c r="A189" s="11" t="s">
        <v>306</v>
      </c>
      <c r="B189" s="5" t="s">
        <v>296</v>
      </c>
      <c r="C189" s="11" t="s">
        <v>37</v>
      </c>
      <c r="D189" s="5" t="s">
        <v>22</v>
      </c>
      <c r="E189" s="11">
        <v>1</v>
      </c>
      <c r="F189" s="11" t="s">
        <v>1151</v>
      </c>
      <c r="G189" s="11" t="s">
        <v>23</v>
      </c>
      <c r="H189" s="11" t="s">
        <v>1035</v>
      </c>
      <c r="I189" s="11" t="s">
        <v>25</v>
      </c>
      <c r="J189" s="11" t="s">
        <v>26</v>
      </c>
      <c r="K189" s="50">
        <v>44938</v>
      </c>
      <c r="L189" s="50">
        <v>46073</v>
      </c>
      <c r="M189" s="11" t="s">
        <v>1150</v>
      </c>
      <c r="N189" s="11">
        <v>56261</v>
      </c>
      <c r="O189" s="55">
        <f t="shared" si="2"/>
        <v>56261</v>
      </c>
      <c r="P189" s="25" t="s">
        <v>50</v>
      </c>
      <c r="Q189" s="43" t="s">
        <v>1152</v>
      </c>
      <c r="R189" s="5">
        <v>9819907456</v>
      </c>
      <c r="S189" s="5" t="s">
        <v>1153</v>
      </c>
      <c r="T189" s="11" t="s">
        <v>32</v>
      </c>
      <c r="U189" s="11" t="s">
        <v>37</v>
      </c>
    </row>
    <row r="190" spans="1:21" s="1" customFormat="1" ht="26.4" x14ac:dyDescent="0.3">
      <c r="A190" s="11" t="s">
        <v>1393</v>
      </c>
      <c r="B190" s="5" t="s">
        <v>307</v>
      </c>
      <c r="C190" s="11" t="s">
        <v>37</v>
      </c>
      <c r="D190" s="11" t="s">
        <v>308</v>
      </c>
      <c r="E190" s="11">
        <v>43</v>
      </c>
      <c r="F190" s="5" t="s">
        <v>37</v>
      </c>
      <c r="G190" s="11" t="s">
        <v>23</v>
      </c>
      <c r="H190" s="11" t="s">
        <v>24</v>
      </c>
      <c r="I190" s="5" t="s">
        <v>25</v>
      </c>
      <c r="J190" s="11" t="s">
        <v>26</v>
      </c>
      <c r="K190" s="52" t="s">
        <v>37</v>
      </c>
      <c r="L190" s="50">
        <v>46101</v>
      </c>
      <c r="M190" s="5" t="s">
        <v>37</v>
      </c>
      <c r="N190" s="11">
        <v>0</v>
      </c>
      <c r="O190" s="55">
        <f t="shared" ref="O190:O253" si="3">N190*E190</f>
        <v>0</v>
      </c>
      <c r="P190" s="11" t="s">
        <v>50</v>
      </c>
      <c r="Q190" s="26" t="s">
        <v>37</v>
      </c>
      <c r="R190" s="26" t="s">
        <v>37</v>
      </c>
      <c r="S190" s="26" t="s">
        <v>37</v>
      </c>
      <c r="T190" s="26" t="s">
        <v>37</v>
      </c>
      <c r="U190" s="11" t="s">
        <v>37</v>
      </c>
    </row>
    <row r="191" spans="1:21" s="1" customFormat="1" ht="26.4" x14ac:dyDescent="0.3">
      <c r="A191" s="11" t="s">
        <v>1394</v>
      </c>
      <c r="B191" s="5" t="s">
        <v>1262</v>
      </c>
      <c r="C191" s="11" t="s">
        <v>37</v>
      </c>
      <c r="D191" s="11" t="s">
        <v>1326</v>
      </c>
      <c r="E191" s="11">
        <v>30</v>
      </c>
      <c r="F191" s="5" t="s">
        <v>1257</v>
      </c>
      <c r="G191" s="11" t="s">
        <v>23</v>
      </c>
      <c r="H191" s="11" t="s">
        <v>311</v>
      </c>
      <c r="I191" s="5" t="s">
        <v>25</v>
      </c>
      <c r="J191" s="11" t="s">
        <v>26</v>
      </c>
      <c r="K191" s="52">
        <v>45121</v>
      </c>
      <c r="L191" s="50">
        <v>46085</v>
      </c>
      <c r="M191" s="5" t="s">
        <v>1258</v>
      </c>
      <c r="N191" s="11">
        <v>8559</v>
      </c>
      <c r="O191" s="55">
        <f t="shared" si="3"/>
        <v>256770</v>
      </c>
      <c r="P191" s="11" t="s">
        <v>50</v>
      </c>
      <c r="Q191" s="43" t="s">
        <v>1259</v>
      </c>
      <c r="R191" s="5">
        <v>9820023829</v>
      </c>
      <c r="S191" s="5" t="s">
        <v>1260</v>
      </c>
      <c r="T191" s="24"/>
      <c r="U191" s="11" t="s">
        <v>37</v>
      </c>
    </row>
    <row r="192" spans="1:21" s="1" customFormat="1" ht="26.4" x14ac:dyDescent="0.3">
      <c r="A192" s="11" t="s">
        <v>1393</v>
      </c>
      <c r="B192" s="5" t="s">
        <v>307</v>
      </c>
      <c r="C192" s="11" t="s">
        <v>37</v>
      </c>
      <c r="D192" s="11" t="s">
        <v>308</v>
      </c>
      <c r="E192" s="11">
        <v>40</v>
      </c>
      <c r="F192" s="5" t="s">
        <v>313</v>
      </c>
      <c r="G192" s="11" t="s">
        <v>23</v>
      </c>
      <c r="H192" s="11" t="s">
        <v>311</v>
      </c>
      <c r="I192" s="5" t="s">
        <v>25</v>
      </c>
      <c r="J192" s="11" t="s">
        <v>26</v>
      </c>
      <c r="K192" s="52">
        <v>41720</v>
      </c>
      <c r="L192" s="50">
        <v>46049</v>
      </c>
      <c r="M192" s="5" t="s">
        <v>314</v>
      </c>
      <c r="N192" s="11">
        <v>11682</v>
      </c>
      <c r="O192" s="55">
        <f t="shared" si="3"/>
        <v>467280</v>
      </c>
      <c r="P192" s="11" t="s">
        <v>50</v>
      </c>
      <c r="Q192" s="26" t="s">
        <v>37</v>
      </c>
      <c r="R192" s="26">
        <v>9820256972</v>
      </c>
      <c r="S192" s="26" t="s">
        <v>309</v>
      </c>
      <c r="T192" s="24" t="s">
        <v>315</v>
      </c>
      <c r="U192" s="11" t="s">
        <v>37</v>
      </c>
    </row>
    <row r="193" spans="1:21" s="1" customFormat="1" ht="39.6" x14ac:dyDescent="0.3">
      <c r="A193" s="11" t="s">
        <v>1394</v>
      </c>
      <c r="B193" s="8" t="s">
        <v>310</v>
      </c>
      <c r="C193" s="12" t="s">
        <v>37</v>
      </c>
      <c r="D193" s="12" t="s">
        <v>308</v>
      </c>
      <c r="E193" s="12">
        <v>40</v>
      </c>
      <c r="F193" s="5" t="s">
        <v>313</v>
      </c>
      <c r="G193" s="12" t="s">
        <v>23</v>
      </c>
      <c r="H193" s="12" t="s">
        <v>311</v>
      </c>
      <c r="I193" s="8" t="s">
        <v>312</v>
      </c>
      <c r="J193" s="12" t="s">
        <v>72</v>
      </c>
      <c r="K193" s="13">
        <v>41720</v>
      </c>
      <c r="L193" s="15">
        <v>46049</v>
      </c>
      <c r="M193" s="8" t="s">
        <v>314</v>
      </c>
      <c r="N193" s="12">
        <v>23516</v>
      </c>
      <c r="O193" s="14">
        <f t="shared" si="3"/>
        <v>940640</v>
      </c>
      <c r="P193" s="12" t="s">
        <v>1170</v>
      </c>
      <c r="Q193" s="8" t="s">
        <v>37</v>
      </c>
      <c r="R193" s="8">
        <v>9820256972</v>
      </c>
      <c r="S193" s="8" t="s">
        <v>309</v>
      </c>
      <c r="T193" s="21" t="s">
        <v>315</v>
      </c>
      <c r="U193" s="12" t="s">
        <v>37</v>
      </c>
    </row>
    <row r="194" spans="1:21" s="1" customFormat="1" ht="14.4" x14ac:dyDescent="0.3">
      <c r="A194" s="11" t="s">
        <v>1297</v>
      </c>
      <c r="B194" s="11" t="s">
        <v>316</v>
      </c>
      <c r="C194" s="11" t="s">
        <v>37</v>
      </c>
      <c r="D194" s="11" t="s">
        <v>1326</v>
      </c>
      <c r="E194" s="11">
        <v>1</v>
      </c>
      <c r="F194" s="5" t="s">
        <v>1287</v>
      </c>
      <c r="G194" s="11" t="s">
        <v>23</v>
      </c>
      <c r="H194" s="11" t="s">
        <v>24</v>
      </c>
      <c r="I194" s="11" t="s">
        <v>25</v>
      </c>
      <c r="J194" s="11" t="s">
        <v>26</v>
      </c>
      <c r="K194" s="50">
        <v>41844</v>
      </c>
      <c r="L194" s="50">
        <v>46084</v>
      </c>
      <c r="M194" s="11" t="s">
        <v>1224</v>
      </c>
      <c r="N194" s="11">
        <v>530200</v>
      </c>
      <c r="O194" s="55">
        <f t="shared" si="3"/>
        <v>530200</v>
      </c>
      <c r="P194" s="11" t="s">
        <v>50</v>
      </c>
      <c r="Q194" s="5" t="s">
        <v>37</v>
      </c>
      <c r="R194" s="25">
        <v>8044464585</v>
      </c>
      <c r="S194" s="5" t="s">
        <v>1223</v>
      </c>
      <c r="T194" s="11"/>
      <c r="U194" s="11" t="s">
        <v>317</v>
      </c>
    </row>
    <row r="195" spans="1:21" s="1" customFormat="1" ht="14.4" x14ac:dyDescent="0.3">
      <c r="A195" s="11" t="s">
        <v>1298</v>
      </c>
      <c r="B195" s="11" t="s">
        <v>316</v>
      </c>
      <c r="C195" s="11" t="s">
        <v>37</v>
      </c>
      <c r="D195" s="11" t="s">
        <v>1326</v>
      </c>
      <c r="E195" s="11">
        <v>1</v>
      </c>
      <c r="F195" s="5" t="s">
        <v>1287</v>
      </c>
      <c r="G195" s="11" t="s">
        <v>23</v>
      </c>
      <c r="H195" s="11" t="s">
        <v>24</v>
      </c>
      <c r="I195" s="11" t="s">
        <v>25</v>
      </c>
      <c r="J195" s="11" t="s">
        <v>26</v>
      </c>
      <c r="K195" s="50">
        <v>41844</v>
      </c>
      <c r="L195" s="50">
        <v>46084</v>
      </c>
      <c r="M195" s="11" t="s">
        <v>1224</v>
      </c>
      <c r="N195" s="11">
        <v>530200</v>
      </c>
      <c r="O195" s="55">
        <f t="shared" si="3"/>
        <v>530200</v>
      </c>
      <c r="P195" s="11" t="s">
        <v>50</v>
      </c>
      <c r="Q195" s="5" t="s">
        <v>37</v>
      </c>
      <c r="R195" s="25">
        <v>8044464585</v>
      </c>
      <c r="S195" s="5" t="s">
        <v>1223</v>
      </c>
      <c r="T195" s="11"/>
      <c r="U195" s="11" t="s">
        <v>317</v>
      </c>
    </row>
    <row r="196" spans="1:21" s="1" customFormat="1" ht="14.4" x14ac:dyDescent="0.3">
      <c r="A196" s="11" t="s">
        <v>1299</v>
      </c>
      <c r="B196" s="11" t="s">
        <v>316</v>
      </c>
      <c r="C196" s="11" t="s">
        <v>37</v>
      </c>
      <c r="D196" s="11" t="s">
        <v>1326</v>
      </c>
      <c r="E196" s="11">
        <v>1</v>
      </c>
      <c r="F196" s="5" t="s">
        <v>1287</v>
      </c>
      <c r="G196" s="11" t="s">
        <v>23</v>
      </c>
      <c r="H196" s="11" t="s">
        <v>24</v>
      </c>
      <c r="I196" s="11" t="s">
        <v>25</v>
      </c>
      <c r="J196" s="11" t="s">
        <v>26</v>
      </c>
      <c r="K196" s="50">
        <v>41844</v>
      </c>
      <c r="L196" s="50">
        <v>46084</v>
      </c>
      <c r="M196" s="11" t="s">
        <v>1224</v>
      </c>
      <c r="N196" s="11">
        <v>530200</v>
      </c>
      <c r="O196" s="55">
        <f t="shared" si="3"/>
        <v>530200</v>
      </c>
      <c r="P196" s="11" t="s">
        <v>50</v>
      </c>
      <c r="Q196" s="5" t="s">
        <v>37</v>
      </c>
      <c r="R196" s="25">
        <v>8044464585</v>
      </c>
      <c r="S196" s="5" t="s">
        <v>1223</v>
      </c>
      <c r="T196" s="11"/>
      <c r="U196" s="11" t="s">
        <v>317</v>
      </c>
    </row>
    <row r="197" spans="1:21" s="1" customFormat="1" ht="14.4" x14ac:dyDescent="0.3">
      <c r="A197" s="11" t="s">
        <v>1300</v>
      </c>
      <c r="B197" s="11" t="s">
        <v>316</v>
      </c>
      <c r="C197" s="11" t="s">
        <v>37</v>
      </c>
      <c r="D197" s="11" t="s">
        <v>1326</v>
      </c>
      <c r="E197" s="11">
        <v>1</v>
      </c>
      <c r="F197" s="5" t="s">
        <v>1287</v>
      </c>
      <c r="G197" s="11" t="s">
        <v>23</v>
      </c>
      <c r="H197" s="11" t="s">
        <v>24</v>
      </c>
      <c r="I197" s="11" t="s">
        <v>25</v>
      </c>
      <c r="J197" s="11" t="s">
        <v>26</v>
      </c>
      <c r="K197" s="50">
        <v>41844</v>
      </c>
      <c r="L197" s="50">
        <v>46084</v>
      </c>
      <c r="M197" s="11" t="s">
        <v>1224</v>
      </c>
      <c r="N197" s="11">
        <v>530200</v>
      </c>
      <c r="O197" s="55">
        <f t="shared" si="3"/>
        <v>530200</v>
      </c>
      <c r="P197" s="11" t="s">
        <v>50</v>
      </c>
      <c r="Q197" s="5" t="s">
        <v>37</v>
      </c>
      <c r="R197" s="25">
        <v>8044464585</v>
      </c>
      <c r="S197" s="5" t="s">
        <v>1223</v>
      </c>
      <c r="T197" s="11"/>
      <c r="U197" s="11" t="s">
        <v>317</v>
      </c>
    </row>
    <row r="198" spans="1:21" s="1" customFormat="1" ht="14.4" x14ac:dyDescent="0.3">
      <c r="A198" s="11" t="s">
        <v>1301</v>
      </c>
      <c r="B198" s="11" t="s">
        <v>316</v>
      </c>
      <c r="C198" s="11" t="s">
        <v>375</v>
      </c>
      <c r="D198" s="11" t="s">
        <v>1326</v>
      </c>
      <c r="E198" s="11">
        <v>1</v>
      </c>
      <c r="F198" s="5" t="s">
        <v>1287</v>
      </c>
      <c r="G198" s="11" t="s">
        <v>23</v>
      </c>
      <c r="H198" s="11" t="s">
        <v>24</v>
      </c>
      <c r="I198" s="11" t="s">
        <v>25</v>
      </c>
      <c r="J198" s="11" t="s">
        <v>26</v>
      </c>
      <c r="K198" s="50">
        <v>41844</v>
      </c>
      <c r="L198" s="50">
        <v>46084</v>
      </c>
      <c r="M198" s="11" t="s">
        <v>1224</v>
      </c>
      <c r="N198" s="11">
        <v>530200</v>
      </c>
      <c r="O198" s="55">
        <f t="shared" si="3"/>
        <v>530200</v>
      </c>
      <c r="P198" s="11" t="s">
        <v>50</v>
      </c>
      <c r="Q198" s="5" t="s">
        <v>37</v>
      </c>
      <c r="R198" s="25">
        <v>8044464585</v>
      </c>
      <c r="S198" s="5" t="s">
        <v>1223</v>
      </c>
      <c r="T198" s="11"/>
      <c r="U198" s="11" t="s">
        <v>317</v>
      </c>
    </row>
    <row r="199" spans="1:21" s="1" customFormat="1" ht="14.4" x14ac:dyDescent="0.3">
      <c r="A199" s="11" t="s">
        <v>1302</v>
      </c>
      <c r="B199" s="11" t="s">
        <v>316</v>
      </c>
      <c r="C199" s="11" t="s">
        <v>375</v>
      </c>
      <c r="D199" s="11" t="s">
        <v>1326</v>
      </c>
      <c r="E199" s="11">
        <v>1</v>
      </c>
      <c r="F199" s="5" t="s">
        <v>1287</v>
      </c>
      <c r="G199" s="11" t="s">
        <v>23</v>
      </c>
      <c r="H199" s="11" t="s">
        <v>24</v>
      </c>
      <c r="I199" s="11" t="s">
        <v>25</v>
      </c>
      <c r="J199" s="11" t="s">
        <v>26</v>
      </c>
      <c r="K199" s="50">
        <v>41844</v>
      </c>
      <c r="L199" s="50">
        <v>46084</v>
      </c>
      <c r="M199" s="11" t="s">
        <v>1224</v>
      </c>
      <c r="N199" s="11">
        <v>530200</v>
      </c>
      <c r="O199" s="55">
        <f t="shared" si="3"/>
        <v>530200</v>
      </c>
      <c r="P199" s="11" t="s">
        <v>50</v>
      </c>
      <c r="Q199" s="5" t="s">
        <v>37</v>
      </c>
      <c r="R199" s="25">
        <v>8044464585</v>
      </c>
      <c r="S199" s="5" t="s">
        <v>1223</v>
      </c>
      <c r="T199" s="11"/>
      <c r="U199" s="11" t="s">
        <v>317</v>
      </c>
    </row>
    <row r="200" spans="1:21" s="1" customFormat="1" ht="14.4" x14ac:dyDescent="0.3">
      <c r="A200" s="11" t="s">
        <v>1303</v>
      </c>
      <c r="B200" s="11" t="s">
        <v>316</v>
      </c>
      <c r="C200" s="11" t="s">
        <v>375</v>
      </c>
      <c r="D200" s="11" t="s">
        <v>1326</v>
      </c>
      <c r="E200" s="11">
        <v>1</v>
      </c>
      <c r="F200" s="5" t="s">
        <v>1287</v>
      </c>
      <c r="G200" s="11" t="s">
        <v>23</v>
      </c>
      <c r="H200" s="11" t="s">
        <v>24</v>
      </c>
      <c r="I200" s="11" t="s">
        <v>25</v>
      </c>
      <c r="J200" s="11" t="s">
        <v>26</v>
      </c>
      <c r="K200" s="50">
        <v>41844</v>
      </c>
      <c r="L200" s="50">
        <v>46084</v>
      </c>
      <c r="M200" s="11" t="s">
        <v>1224</v>
      </c>
      <c r="N200" s="11">
        <v>530200</v>
      </c>
      <c r="O200" s="55">
        <f t="shared" si="3"/>
        <v>530200</v>
      </c>
      <c r="P200" s="11" t="s">
        <v>50</v>
      </c>
      <c r="Q200" s="5" t="s">
        <v>37</v>
      </c>
      <c r="R200" s="25">
        <v>8044464585</v>
      </c>
      <c r="S200" s="5" t="s">
        <v>1223</v>
      </c>
      <c r="T200" s="11"/>
      <c r="U200" s="11" t="s">
        <v>317</v>
      </c>
    </row>
    <row r="201" spans="1:21" s="1" customFormat="1" ht="14.4" x14ac:dyDescent="0.3">
      <c r="A201" s="11" t="s">
        <v>1304</v>
      </c>
      <c r="B201" s="11" t="s">
        <v>316</v>
      </c>
      <c r="C201" s="11" t="s">
        <v>375</v>
      </c>
      <c r="D201" s="11" t="s">
        <v>1326</v>
      </c>
      <c r="E201" s="11">
        <v>1</v>
      </c>
      <c r="F201" s="5" t="s">
        <v>1287</v>
      </c>
      <c r="G201" s="11" t="s">
        <v>23</v>
      </c>
      <c r="H201" s="11" t="s">
        <v>24</v>
      </c>
      <c r="I201" s="11" t="s">
        <v>25</v>
      </c>
      <c r="J201" s="11" t="s">
        <v>26</v>
      </c>
      <c r="K201" s="50">
        <v>41844</v>
      </c>
      <c r="L201" s="50">
        <v>46084</v>
      </c>
      <c r="M201" s="11" t="s">
        <v>1224</v>
      </c>
      <c r="N201" s="11">
        <v>530200</v>
      </c>
      <c r="O201" s="55">
        <f t="shared" si="3"/>
        <v>530200</v>
      </c>
      <c r="P201" s="11" t="s">
        <v>50</v>
      </c>
      <c r="Q201" s="5" t="s">
        <v>37</v>
      </c>
      <c r="R201" s="25">
        <v>8044464585</v>
      </c>
      <c r="S201" s="5" t="s">
        <v>1223</v>
      </c>
      <c r="T201" s="11"/>
      <c r="U201" s="11" t="s">
        <v>317</v>
      </c>
    </row>
    <row r="202" spans="1:21" s="1" customFormat="1" ht="26.4" x14ac:dyDescent="0.3">
      <c r="A202" s="11" t="s">
        <v>318</v>
      </c>
      <c r="B202" s="5" t="s">
        <v>1368</v>
      </c>
      <c r="C202" s="11" t="s">
        <v>37</v>
      </c>
      <c r="D202" s="11" t="s">
        <v>1326</v>
      </c>
      <c r="E202" s="11">
        <v>1</v>
      </c>
      <c r="F202" s="5" t="s">
        <v>83</v>
      </c>
      <c r="G202" s="11" t="s">
        <v>23</v>
      </c>
      <c r="H202" s="11" t="s">
        <v>24</v>
      </c>
      <c r="I202" s="11" t="s">
        <v>25</v>
      </c>
      <c r="J202" s="11" t="s">
        <v>26</v>
      </c>
      <c r="K202" s="50">
        <v>45716</v>
      </c>
      <c r="L202" s="50">
        <v>46102</v>
      </c>
      <c r="M202" s="11" t="s">
        <v>1369</v>
      </c>
      <c r="N202" s="11">
        <v>800000</v>
      </c>
      <c r="O202" s="55">
        <f t="shared" si="3"/>
        <v>800000</v>
      </c>
      <c r="P202" s="11" t="s">
        <v>73</v>
      </c>
      <c r="Q202" s="43" t="s">
        <v>978</v>
      </c>
      <c r="R202" s="5">
        <v>7719007222</v>
      </c>
      <c r="S202" s="5" t="s">
        <v>979</v>
      </c>
      <c r="T202" s="11" t="s">
        <v>41</v>
      </c>
      <c r="U202" s="11" t="s">
        <v>317</v>
      </c>
    </row>
    <row r="203" spans="1:21" s="1" customFormat="1" ht="14.4" x14ac:dyDescent="0.3">
      <c r="A203" s="11" t="s">
        <v>319</v>
      </c>
      <c r="B203" s="11" t="s">
        <v>1404</v>
      </c>
      <c r="C203" s="11" t="s">
        <v>37</v>
      </c>
      <c r="D203" s="11" t="s">
        <v>308</v>
      </c>
      <c r="E203" s="12">
        <v>1</v>
      </c>
      <c r="F203" s="11" t="s">
        <v>1287</v>
      </c>
      <c r="G203" s="11" t="s">
        <v>23</v>
      </c>
      <c r="H203" s="11" t="s">
        <v>24</v>
      </c>
      <c r="I203" s="11" t="s">
        <v>25</v>
      </c>
      <c r="J203" s="11" t="s">
        <v>26</v>
      </c>
      <c r="K203" s="11" t="s">
        <v>37</v>
      </c>
      <c r="L203" s="50">
        <v>46106</v>
      </c>
      <c r="M203" s="11" t="s">
        <v>1224</v>
      </c>
      <c r="N203" s="11">
        <v>0</v>
      </c>
      <c r="O203" s="55">
        <f t="shared" si="3"/>
        <v>0</v>
      </c>
      <c r="P203" s="11"/>
      <c r="Q203" s="11"/>
      <c r="R203" s="11"/>
      <c r="S203" s="11"/>
      <c r="T203" s="11"/>
      <c r="U203" s="11" t="s">
        <v>317</v>
      </c>
    </row>
    <row r="204" spans="1:21" s="1" customFormat="1" ht="26.4" x14ac:dyDescent="0.3">
      <c r="A204" s="11" t="s">
        <v>320</v>
      </c>
      <c r="B204" s="5" t="s">
        <v>1368</v>
      </c>
      <c r="C204" s="11" t="s">
        <v>37</v>
      </c>
      <c r="D204" s="11" t="s">
        <v>1326</v>
      </c>
      <c r="E204" s="11">
        <v>1</v>
      </c>
      <c r="F204" s="5" t="s">
        <v>83</v>
      </c>
      <c r="G204" s="11" t="s">
        <v>23</v>
      </c>
      <c r="H204" s="11" t="s">
        <v>24</v>
      </c>
      <c r="I204" s="11" t="s">
        <v>25</v>
      </c>
      <c r="J204" s="11" t="s">
        <v>26</v>
      </c>
      <c r="K204" s="50">
        <v>45716</v>
      </c>
      <c r="L204" s="50">
        <v>46102</v>
      </c>
      <c r="M204" s="11" t="s">
        <v>1369</v>
      </c>
      <c r="N204" s="11">
        <v>800000</v>
      </c>
      <c r="O204" s="55">
        <f t="shared" si="3"/>
        <v>800000</v>
      </c>
      <c r="P204" s="11" t="s">
        <v>73</v>
      </c>
      <c r="Q204" s="43" t="s">
        <v>978</v>
      </c>
      <c r="R204" s="5">
        <v>7719007222</v>
      </c>
      <c r="S204" s="5" t="s">
        <v>979</v>
      </c>
      <c r="T204" s="11" t="s">
        <v>41</v>
      </c>
      <c r="U204" s="11" t="s">
        <v>317</v>
      </c>
    </row>
    <row r="205" spans="1:21" s="1" customFormat="1" ht="14.4" x14ac:dyDescent="0.3">
      <c r="A205" s="11" t="s">
        <v>321</v>
      </c>
      <c r="B205" s="5" t="s">
        <v>1368</v>
      </c>
      <c r="C205" s="11" t="s">
        <v>37</v>
      </c>
      <c r="D205" s="11" t="s">
        <v>1326</v>
      </c>
      <c r="E205" s="11">
        <v>1</v>
      </c>
      <c r="F205" s="11" t="s">
        <v>37</v>
      </c>
      <c r="G205" s="11" t="s">
        <v>23</v>
      </c>
      <c r="H205" s="11" t="s">
        <v>24</v>
      </c>
      <c r="I205" s="11" t="s">
        <v>25</v>
      </c>
      <c r="J205" s="11" t="s">
        <v>26</v>
      </c>
      <c r="K205" s="11" t="s">
        <v>37</v>
      </c>
      <c r="L205" s="11" t="s">
        <v>37</v>
      </c>
      <c r="M205" s="11" t="s">
        <v>37</v>
      </c>
      <c r="N205" s="11">
        <v>0</v>
      </c>
      <c r="O205" s="55">
        <f t="shared" si="3"/>
        <v>0</v>
      </c>
      <c r="P205" s="11" t="s">
        <v>73</v>
      </c>
      <c r="Q205" s="11" t="s">
        <v>37</v>
      </c>
      <c r="R205" s="11" t="s">
        <v>37</v>
      </c>
      <c r="S205" s="11" t="s">
        <v>37</v>
      </c>
      <c r="T205" s="11" t="s">
        <v>37</v>
      </c>
      <c r="U205" s="11" t="s">
        <v>317</v>
      </c>
    </row>
    <row r="206" spans="1:21" s="1" customFormat="1" ht="26.4" x14ac:dyDescent="0.3">
      <c r="A206" s="11" t="s">
        <v>322</v>
      </c>
      <c r="B206" s="5" t="s">
        <v>323</v>
      </c>
      <c r="C206" s="11" t="s">
        <v>37</v>
      </c>
      <c r="D206" s="11" t="s">
        <v>1326</v>
      </c>
      <c r="E206" s="11">
        <v>1</v>
      </c>
      <c r="F206" s="5" t="s">
        <v>83</v>
      </c>
      <c r="G206" s="11" t="s">
        <v>23</v>
      </c>
      <c r="H206" s="11" t="s">
        <v>24</v>
      </c>
      <c r="I206" s="11" t="s">
        <v>25</v>
      </c>
      <c r="J206" s="11" t="s">
        <v>26</v>
      </c>
      <c r="K206" s="50">
        <v>45716</v>
      </c>
      <c r="L206" s="50">
        <v>46102</v>
      </c>
      <c r="M206" s="11" t="s">
        <v>1369</v>
      </c>
      <c r="N206" s="11">
        <v>622000</v>
      </c>
      <c r="O206" s="55">
        <f t="shared" si="3"/>
        <v>622000</v>
      </c>
      <c r="P206" s="11" t="s">
        <v>73</v>
      </c>
      <c r="Q206" s="43" t="s">
        <v>978</v>
      </c>
      <c r="R206" s="5">
        <v>7719007222</v>
      </c>
      <c r="S206" s="5" t="s">
        <v>979</v>
      </c>
      <c r="T206" s="11" t="s">
        <v>41</v>
      </c>
      <c r="U206" s="11" t="s">
        <v>317</v>
      </c>
    </row>
    <row r="207" spans="1:21" s="1" customFormat="1" ht="14.4" x14ac:dyDescent="0.3">
      <c r="A207" s="11" t="s">
        <v>324</v>
      </c>
      <c r="B207" s="5" t="s">
        <v>323</v>
      </c>
      <c r="C207" s="11" t="s">
        <v>37</v>
      </c>
      <c r="D207" s="11" t="s">
        <v>308</v>
      </c>
      <c r="E207" s="12">
        <v>1</v>
      </c>
      <c r="F207" s="11" t="s">
        <v>1287</v>
      </c>
      <c r="G207" s="11" t="s">
        <v>23</v>
      </c>
      <c r="H207" s="11" t="s">
        <v>24</v>
      </c>
      <c r="I207" s="11" t="s">
        <v>25</v>
      </c>
      <c r="J207" s="11" t="s">
        <v>26</v>
      </c>
      <c r="K207" s="11" t="s">
        <v>37</v>
      </c>
      <c r="L207" s="50">
        <v>46106</v>
      </c>
      <c r="M207" s="11" t="s">
        <v>1224</v>
      </c>
      <c r="N207" s="11">
        <v>0</v>
      </c>
      <c r="O207" s="55">
        <f t="shared" si="3"/>
        <v>0</v>
      </c>
      <c r="P207" s="11"/>
      <c r="Q207" s="11"/>
      <c r="R207" s="11"/>
      <c r="S207" s="11"/>
      <c r="T207" s="11"/>
      <c r="U207" s="11" t="s">
        <v>317</v>
      </c>
    </row>
    <row r="208" spans="1:21" s="1" customFormat="1" ht="26.4" x14ac:dyDescent="0.3">
      <c r="A208" s="11" t="s">
        <v>325</v>
      </c>
      <c r="B208" s="5" t="s">
        <v>323</v>
      </c>
      <c r="C208" s="11" t="s">
        <v>37</v>
      </c>
      <c r="D208" s="11" t="s">
        <v>1326</v>
      </c>
      <c r="E208" s="11">
        <v>1</v>
      </c>
      <c r="F208" s="5" t="s">
        <v>83</v>
      </c>
      <c r="G208" s="11" t="s">
        <v>23</v>
      </c>
      <c r="H208" s="11" t="s">
        <v>24</v>
      </c>
      <c r="I208" s="11" t="s">
        <v>25</v>
      </c>
      <c r="J208" s="11" t="s">
        <v>26</v>
      </c>
      <c r="K208" s="50">
        <v>45716</v>
      </c>
      <c r="L208" s="50">
        <v>46102</v>
      </c>
      <c r="M208" s="11" t="s">
        <v>1369</v>
      </c>
      <c r="N208" s="11">
        <v>622000</v>
      </c>
      <c r="O208" s="55">
        <f t="shared" si="3"/>
        <v>622000</v>
      </c>
      <c r="P208" s="11" t="s">
        <v>73</v>
      </c>
      <c r="Q208" s="43" t="s">
        <v>978</v>
      </c>
      <c r="R208" s="5">
        <v>7719007222</v>
      </c>
      <c r="S208" s="5" t="s">
        <v>979</v>
      </c>
      <c r="T208" s="11" t="s">
        <v>41</v>
      </c>
      <c r="U208" s="11" t="s">
        <v>317</v>
      </c>
    </row>
    <row r="209" spans="1:21" s="1" customFormat="1" ht="14.4" x14ac:dyDescent="0.3">
      <c r="A209" s="11" t="s">
        <v>326</v>
      </c>
      <c r="B209" s="5" t="s">
        <v>323</v>
      </c>
      <c r="C209" s="11" t="s">
        <v>37</v>
      </c>
      <c r="D209" s="11" t="s">
        <v>1326</v>
      </c>
      <c r="E209" s="11">
        <v>1</v>
      </c>
      <c r="F209" s="11" t="s">
        <v>37</v>
      </c>
      <c r="G209" s="11" t="s">
        <v>23</v>
      </c>
      <c r="H209" s="11" t="s">
        <v>24</v>
      </c>
      <c r="I209" s="11" t="s">
        <v>25</v>
      </c>
      <c r="J209" s="11" t="s">
        <v>26</v>
      </c>
      <c r="K209" s="11" t="s">
        <v>37</v>
      </c>
      <c r="L209" s="11" t="s">
        <v>37</v>
      </c>
      <c r="M209" s="11" t="s">
        <v>37</v>
      </c>
      <c r="N209" s="11">
        <v>0</v>
      </c>
      <c r="O209" s="55">
        <f t="shared" si="3"/>
        <v>0</v>
      </c>
      <c r="P209" s="11" t="s">
        <v>73</v>
      </c>
      <c r="Q209" s="11" t="s">
        <v>37</v>
      </c>
      <c r="R209" s="11" t="s">
        <v>37</v>
      </c>
      <c r="S209" s="11" t="s">
        <v>37</v>
      </c>
      <c r="T209" s="11" t="s">
        <v>37</v>
      </c>
      <c r="U209" s="11" t="s">
        <v>317</v>
      </c>
    </row>
    <row r="210" spans="1:21" s="1" customFormat="1" ht="26.4" x14ac:dyDescent="0.3">
      <c r="A210" s="11" t="s">
        <v>327</v>
      </c>
      <c r="B210" s="5" t="s">
        <v>328</v>
      </c>
      <c r="C210" s="11" t="s">
        <v>37</v>
      </c>
      <c r="D210" s="11" t="s">
        <v>308</v>
      </c>
      <c r="E210" s="12">
        <v>4</v>
      </c>
      <c r="F210" s="11" t="s">
        <v>1287</v>
      </c>
      <c r="G210" s="11" t="s">
        <v>23</v>
      </c>
      <c r="H210" s="11" t="s">
        <v>24</v>
      </c>
      <c r="I210" s="11" t="s">
        <v>25</v>
      </c>
      <c r="J210" s="11" t="s">
        <v>26</v>
      </c>
      <c r="K210" s="11" t="s">
        <v>37</v>
      </c>
      <c r="L210" s="50">
        <v>46106</v>
      </c>
      <c r="M210" s="11" t="s">
        <v>1224</v>
      </c>
      <c r="N210" s="11">
        <v>0</v>
      </c>
      <c r="O210" s="55">
        <f t="shared" si="3"/>
        <v>0</v>
      </c>
      <c r="P210" s="11"/>
      <c r="Q210" s="11"/>
      <c r="R210" s="11"/>
      <c r="S210" s="11"/>
      <c r="T210" s="11"/>
      <c r="U210" s="11" t="s">
        <v>317</v>
      </c>
    </row>
    <row r="211" spans="1:21" s="1" customFormat="1" ht="26.4" x14ac:dyDescent="0.3">
      <c r="A211" s="11" t="s">
        <v>329</v>
      </c>
      <c r="B211" s="11" t="s">
        <v>329</v>
      </c>
      <c r="C211" s="11" t="s">
        <v>330</v>
      </c>
      <c r="D211" s="11" t="s">
        <v>308</v>
      </c>
      <c r="E211" s="12">
        <v>4</v>
      </c>
      <c r="F211" s="11" t="s">
        <v>1287</v>
      </c>
      <c r="G211" s="11" t="s">
        <v>23</v>
      </c>
      <c r="H211" s="11" t="s">
        <v>24</v>
      </c>
      <c r="I211" s="11" t="s">
        <v>25</v>
      </c>
      <c r="J211" s="11" t="s">
        <v>26</v>
      </c>
      <c r="K211" s="11" t="s">
        <v>37</v>
      </c>
      <c r="L211" s="50">
        <v>46106</v>
      </c>
      <c r="M211" s="11" t="s">
        <v>1224</v>
      </c>
      <c r="N211" s="11">
        <v>0</v>
      </c>
      <c r="O211" s="55">
        <f t="shared" si="3"/>
        <v>0</v>
      </c>
      <c r="P211" s="11"/>
      <c r="Q211" s="11"/>
      <c r="R211" s="11"/>
      <c r="S211" s="11"/>
      <c r="T211" s="11"/>
      <c r="U211" s="11" t="s">
        <v>317</v>
      </c>
    </row>
    <row r="212" spans="1:21" s="1" customFormat="1" ht="26.4" x14ac:dyDescent="0.3">
      <c r="A212" s="11" t="s">
        <v>1305</v>
      </c>
      <c r="B212" s="5" t="s">
        <v>1306</v>
      </c>
      <c r="C212" s="11" t="s">
        <v>37</v>
      </c>
      <c r="D212" s="11" t="s">
        <v>1326</v>
      </c>
      <c r="E212" s="11">
        <v>5</v>
      </c>
      <c r="F212" s="5" t="s">
        <v>1287</v>
      </c>
      <c r="G212" s="11" t="s">
        <v>23</v>
      </c>
      <c r="H212" s="11" t="s">
        <v>24</v>
      </c>
      <c r="I212" s="11" t="s">
        <v>25</v>
      </c>
      <c r="J212" s="11" t="s">
        <v>26</v>
      </c>
      <c r="K212" s="50">
        <v>42353</v>
      </c>
      <c r="L212" s="50">
        <v>46086</v>
      </c>
      <c r="M212" s="11" t="s">
        <v>1224</v>
      </c>
      <c r="N212" s="11">
        <v>58595</v>
      </c>
      <c r="O212" s="55">
        <f t="shared" si="3"/>
        <v>292975</v>
      </c>
      <c r="P212" s="11" t="s">
        <v>73</v>
      </c>
      <c r="Q212" s="5" t="s">
        <v>37</v>
      </c>
      <c r="R212" s="25">
        <v>8044464585</v>
      </c>
      <c r="S212" s="5" t="s">
        <v>1223</v>
      </c>
      <c r="T212" s="11" t="s">
        <v>643</v>
      </c>
      <c r="U212" s="11" t="s">
        <v>317</v>
      </c>
    </row>
    <row r="213" spans="1:21" s="1" customFormat="1" ht="26.4" x14ac:dyDescent="0.3">
      <c r="A213" s="11" t="s">
        <v>1307</v>
      </c>
      <c r="B213" s="5"/>
      <c r="C213" s="11" t="s">
        <v>331</v>
      </c>
      <c r="D213" s="11" t="s">
        <v>1326</v>
      </c>
      <c r="E213" s="11">
        <v>5</v>
      </c>
      <c r="F213" s="5" t="s">
        <v>1287</v>
      </c>
      <c r="G213" s="11" t="s">
        <v>23</v>
      </c>
      <c r="H213" s="11" t="s">
        <v>24</v>
      </c>
      <c r="I213" s="11" t="s">
        <v>25</v>
      </c>
      <c r="J213" s="11" t="s">
        <v>26</v>
      </c>
      <c r="K213" s="50">
        <v>42353</v>
      </c>
      <c r="L213" s="50">
        <v>46086</v>
      </c>
      <c r="M213" s="11" t="s">
        <v>1224</v>
      </c>
      <c r="N213" s="11">
        <v>58595</v>
      </c>
      <c r="O213" s="55">
        <f t="shared" si="3"/>
        <v>292975</v>
      </c>
      <c r="P213" s="11" t="s">
        <v>73</v>
      </c>
      <c r="Q213" s="5" t="s">
        <v>37</v>
      </c>
      <c r="R213" s="25">
        <v>8044464585</v>
      </c>
      <c r="S213" s="5" t="s">
        <v>1223</v>
      </c>
      <c r="T213" s="11" t="s">
        <v>643</v>
      </c>
      <c r="U213" s="11" t="s">
        <v>317</v>
      </c>
    </row>
    <row r="214" spans="1:21" s="1" customFormat="1" ht="26.4" x14ac:dyDescent="0.3">
      <c r="A214" s="11" t="s">
        <v>332</v>
      </c>
      <c r="B214" s="11" t="s">
        <v>332</v>
      </c>
      <c r="C214" s="11" t="s">
        <v>37</v>
      </c>
      <c r="D214" s="11" t="s">
        <v>1326</v>
      </c>
      <c r="E214" s="11">
        <v>1</v>
      </c>
      <c r="F214" s="5" t="s">
        <v>83</v>
      </c>
      <c r="G214" s="11" t="s">
        <v>23</v>
      </c>
      <c r="H214" s="11" t="s">
        <v>24</v>
      </c>
      <c r="I214" s="11" t="s">
        <v>25</v>
      </c>
      <c r="J214" s="11" t="s">
        <v>26</v>
      </c>
      <c r="K214" s="50">
        <v>45716</v>
      </c>
      <c r="L214" s="50">
        <v>46104</v>
      </c>
      <c r="M214" s="11" t="s">
        <v>1369</v>
      </c>
      <c r="N214" s="11">
        <v>245000</v>
      </c>
      <c r="O214" s="55">
        <f t="shared" si="3"/>
        <v>245000</v>
      </c>
      <c r="P214" s="11" t="s">
        <v>73</v>
      </c>
      <c r="Q214" s="43" t="s">
        <v>978</v>
      </c>
      <c r="R214" s="5">
        <v>7719007222</v>
      </c>
      <c r="S214" s="5" t="s">
        <v>979</v>
      </c>
      <c r="T214" s="11" t="s">
        <v>41</v>
      </c>
      <c r="U214" s="11" t="s">
        <v>317</v>
      </c>
    </row>
    <row r="215" spans="1:21" s="1" customFormat="1" ht="26.4" x14ac:dyDescent="0.3">
      <c r="A215" s="11" t="s">
        <v>333</v>
      </c>
      <c r="B215" s="11" t="s">
        <v>333</v>
      </c>
      <c r="C215" s="11" t="s">
        <v>37</v>
      </c>
      <c r="D215" s="11" t="s">
        <v>308</v>
      </c>
      <c r="E215" s="12">
        <v>1</v>
      </c>
      <c r="F215" s="11" t="s">
        <v>1287</v>
      </c>
      <c r="G215" s="11" t="s">
        <v>23</v>
      </c>
      <c r="H215" s="11" t="s">
        <v>24</v>
      </c>
      <c r="I215" s="11" t="s">
        <v>25</v>
      </c>
      <c r="J215" s="11" t="s">
        <v>26</v>
      </c>
      <c r="K215" s="11" t="s">
        <v>37</v>
      </c>
      <c r="L215" s="50">
        <v>46106</v>
      </c>
      <c r="M215" s="11" t="s">
        <v>1224</v>
      </c>
      <c r="N215" s="11">
        <v>0</v>
      </c>
      <c r="O215" s="55">
        <f t="shared" si="3"/>
        <v>0</v>
      </c>
      <c r="P215" s="11"/>
      <c r="Q215" s="11"/>
      <c r="R215" s="11"/>
      <c r="S215" s="11"/>
      <c r="T215" s="11"/>
      <c r="U215" s="11" t="s">
        <v>317</v>
      </c>
    </row>
    <row r="216" spans="1:21" s="1" customFormat="1" ht="26.4" x14ac:dyDescent="0.3">
      <c r="A216" s="11" t="s">
        <v>334</v>
      </c>
      <c r="B216" s="11" t="s">
        <v>334</v>
      </c>
      <c r="C216" s="11" t="s">
        <v>37</v>
      </c>
      <c r="D216" s="11" t="s">
        <v>1326</v>
      </c>
      <c r="E216" s="11">
        <v>1</v>
      </c>
      <c r="F216" s="5" t="s">
        <v>83</v>
      </c>
      <c r="G216" s="11" t="s">
        <v>23</v>
      </c>
      <c r="H216" s="11" t="s">
        <v>24</v>
      </c>
      <c r="I216" s="11" t="s">
        <v>25</v>
      </c>
      <c r="J216" s="11" t="s">
        <v>26</v>
      </c>
      <c r="K216" s="50">
        <v>45716</v>
      </c>
      <c r="L216" s="50">
        <v>46104</v>
      </c>
      <c r="M216" s="11" t="s">
        <v>1369</v>
      </c>
      <c r="N216" s="11">
        <v>245000</v>
      </c>
      <c r="O216" s="55">
        <f t="shared" si="3"/>
        <v>245000</v>
      </c>
      <c r="P216" s="11" t="s">
        <v>73</v>
      </c>
      <c r="Q216" s="43" t="s">
        <v>978</v>
      </c>
      <c r="R216" s="5">
        <v>7719007222</v>
      </c>
      <c r="S216" s="5" t="s">
        <v>979</v>
      </c>
      <c r="T216" s="11" t="s">
        <v>41</v>
      </c>
      <c r="U216" s="11" t="s">
        <v>317</v>
      </c>
    </row>
    <row r="217" spans="1:21" s="1" customFormat="1" ht="26.4" x14ac:dyDescent="0.3">
      <c r="A217" s="11" t="s">
        <v>335</v>
      </c>
      <c r="B217" s="11" t="s">
        <v>335</v>
      </c>
      <c r="C217" s="11" t="s">
        <v>37</v>
      </c>
      <c r="D217" s="11" t="s">
        <v>1326</v>
      </c>
      <c r="E217" s="11">
        <v>1</v>
      </c>
      <c r="F217" s="11" t="s">
        <v>37</v>
      </c>
      <c r="G217" s="11" t="s">
        <v>23</v>
      </c>
      <c r="H217" s="11" t="s">
        <v>24</v>
      </c>
      <c r="I217" s="11" t="s">
        <v>25</v>
      </c>
      <c r="J217" s="11" t="s">
        <v>26</v>
      </c>
      <c r="K217" s="11" t="s">
        <v>37</v>
      </c>
      <c r="L217" s="11" t="s">
        <v>37</v>
      </c>
      <c r="M217" s="11" t="s">
        <v>37</v>
      </c>
      <c r="N217" s="11">
        <v>0</v>
      </c>
      <c r="O217" s="55">
        <f t="shared" si="3"/>
        <v>0</v>
      </c>
      <c r="P217" s="11" t="s">
        <v>73</v>
      </c>
      <c r="Q217" s="11" t="s">
        <v>37</v>
      </c>
      <c r="R217" s="11" t="s">
        <v>37</v>
      </c>
      <c r="S217" s="11" t="s">
        <v>37</v>
      </c>
      <c r="T217" s="11" t="s">
        <v>37</v>
      </c>
      <c r="U217" s="11" t="s">
        <v>317</v>
      </c>
    </row>
    <row r="218" spans="1:21" s="1" customFormat="1" ht="26.4" x14ac:dyDescent="0.3">
      <c r="A218" s="11" t="s">
        <v>1395</v>
      </c>
      <c r="B218" s="11" t="s">
        <v>1398</v>
      </c>
      <c r="C218" s="11" t="s">
        <v>37</v>
      </c>
      <c r="D218" s="11" t="s">
        <v>1326</v>
      </c>
      <c r="E218" s="11">
        <v>1</v>
      </c>
      <c r="F218" s="5" t="s">
        <v>83</v>
      </c>
      <c r="G218" s="11" t="s">
        <v>23</v>
      </c>
      <c r="H218" s="11" t="s">
        <v>24</v>
      </c>
      <c r="I218" s="11" t="s">
        <v>25</v>
      </c>
      <c r="J218" s="11" t="s">
        <v>26</v>
      </c>
      <c r="K218" s="50">
        <v>45716</v>
      </c>
      <c r="L218" s="50">
        <v>46104</v>
      </c>
      <c r="M218" s="11" t="s">
        <v>1369</v>
      </c>
      <c r="N218" s="11">
        <v>718000</v>
      </c>
      <c r="O218" s="55">
        <f t="shared" si="3"/>
        <v>718000</v>
      </c>
      <c r="P218" s="11" t="s">
        <v>73</v>
      </c>
      <c r="Q218" s="43" t="s">
        <v>978</v>
      </c>
      <c r="R218" s="5">
        <v>7719007222</v>
      </c>
      <c r="S218" s="5" t="s">
        <v>979</v>
      </c>
      <c r="T218" s="11" t="s">
        <v>41</v>
      </c>
      <c r="U218" s="11" t="s">
        <v>317</v>
      </c>
    </row>
    <row r="219" spans="1:21" s="1" customFormat="1" ht="14.4" x14ac:dyDescent="0.3">
      <c r="A219" s="11" t="s">
        <v>336</v>
      </c>
      <c r="B219" s="11" t="s">
        <v>336</v>
      </c>
      <c r="C219" s="11" t="s">
        <v>37</v>
      </c>
      <c r="D219" s="11" t="s">
        <v>308</v>
      </c>
      <c r="E219" s="12">
        <v>1</v>
      </c>
      <c r="F219" s="11" t="s">
        <v>1287</v>
      </c>
      <c r="G219" s="11" t="s">
        <v>23</v>
      </c>
      <c r="H219" s="11" t="s">
        <v>24</v>
      </c>
      <c r="I219" s="11" t="s">
        <v>25</v>
      </c>
      <c r="J219" s="11" t="s">
        <v>26</v>
      </c>
      <c r="K219" s="11" t="s">
        <v>37</v>
      </c>
      <c r="L219" s="50">
        <v>46106</v>
      </c>
      <c r="M219" s="11" t="s">
        <v>1224</v>
      </c>
      <c r="N219" s="11">
        <v>0</v>
      </c>
      <c r="O219" s="55">
        <f t="shared" si="3"/>
        <v>0</v>
      </c>
      <c r="P219" s="11"/>
      <c r="Q219" s="11"/>
      <c r="R219" s="11"/>
      <c r="S219" s="11"/>
      <c r="T219" s="11"/>
      <c r="U219" s="11" t="s">
        <v>317</v>
      </c>
    </row>
    <row r="220" spans="1:21" s="1" customFormat="1" ht="26.4" x14ac:dyDescent="0.3">
      <c r="A220" s="11" t="s">
        <v>1396</v>
      </c>
      <c r="B220" s="11" t="s">
        <v>1399</v>
      </c>
      <c r="C220" s="11" t="s">
        <v>37</v>
      </c>
      <c r="D220" s="11" t="s">
        <v>1326</v>
      </c>
      <c r="E220" s="11">
        <v>1</v>
      </c>
      <c r="F220" s="5" t="s">
        <v>83</v>
      </c>
      <c r="G220" s="11" t="s">
        <v>23</v>
      </c>
      <c r="H220" s="11" t="s">
        <v>24</v>
      </c>
      <c r="I220" s="11" t="s">
        <v>25</v>
      </c>
      <c r="J220" s="11" t="s">
        <v>26</v>
      </c>
      <c r="K220" s="50">
        <v>45716</v>
      </c>
      <c r="L220" s="50">
        <v>46104</v>
      </c>
      <c r="M220" s="11" t="s">
        <v>1369</v>
      </c>
      <c r="N220" s="11">
        <v>718000</v>
      </c>
      <c r="O220" s="55">
        <f t="shared" si="3"/>
        <v>718000</v>
      </c>
      <c r="P220" s="11" t="s">
        <v>73</v>
      </c>
      <c r="Q220" s="43" t="s">
        <v>978</v>
      </c>
      <c r="R220" s="5">
        <v>7719007222</v>
      </c>
      <c r="S220" s="5" t="s">
        <v>979</v>
      </c>
      <c r="T220" s="11" t="s">
        <v>41</v>
      </c>
      <c r="U220" s="11" t="s">
        <v>317</v>
      </c>
    </row>
    <row r="221" spans="1:21" s="1" customFormat="1" ht="26.4" x14ac:dyDescent="0.3">
      <c r="A221" s="11" t="s">
        <v>1397</v>
      </c>
      <c r="B221" s="11" t="s">
        <v>1400</v>
      </c>
      <c r="C221" s="11" t="s">
        <v>37</v>
      </c>
      <c r="D221" s="11" t="s">
        <v>1326</v>
      </c>
      <c r="E221" s="11">
        <v>1</v>
      </c>
      <c r="F221" s="11" t="s">
        <v>37</v>
      </c>
      <c r="G221" s="11" t="s">
        <v>23</v>
      </c>
      <c r="H221" s="11" t="s">
        <v>24</v>
      </c>
      <c r="I221" s="11" t="s">
        <v>25</v>
      </c>
      <c r="J221" s="11" t="s">
        <v>26</v>
      </c>
      <c r="K221" s="11" t="s">
        <v>37</v>
      </c>
      <c r="L221" s="11" t="s">
        <v>37</v>
      </c>
      <c r="M221" s="11" t="s">
        <v>37</v>
      </c>
      <c r="N221" s="11">
        <v>0</v>
      </c>
      <c r="O221" s="55">
        <f t="shared" si="3"/>
        <v>0</v>
      </c>
      <c r="P221" s="11" t="s">
        <v>73</v>
      </c>
      <c r="Q221" s="11" t="s">
        <v>37</v>
      </c>
      <c r="R221" s="11" t="s">
        <v>37</v>
      </c>
      <c r="S221" s="11" t="s">
        <v>37</v>
      </c>
      <c r="T221" s="11" t="s">
        <v>37</v>
      </c>
      <c r="U221" s="11" t="s">
        <v>317</v>
      </c>
    </row>
    <row r="222" spans="1:21" s="1" customFormat="1" ht="14.4" x14ac:dyDescent="0.3">
      <c r="A222" s="11" t="s">
        <v>337</v>
      </c>
      <c r="B222" s="11" t="s">
        <v>337</v>
      </c>
      <c r="C222" s="11" t="s">
        <v>37</v>
      </c>
      <c r="D222" s="11" t="s">
        <v>1326</v>
      </c>
      <c r="E222" s="12">
        <v>1</v>
      </c>
      <c r="F222" s="11" t="s">
        <v>37</v>
      </c>
      <c r="G222" s="11" t="s">
        <v>23</v>
      </c>
      <c r="H222" s="11" t="s">
        <v>24</v>
      </c>
      <c r="I222" s="11" t="s">
        <v>25</v>
      </c>
      <c r="J222" s="11" t="s">
        <v>26</v>
      </c>
      <c r="K222" s="11" t="s">
        <v>37</v>
      </c>
      <c r="L222" s="50">
        <v>46104</v>
      </c>
      <c r="M222" s="11" t="s">
        <v>37</v>
      </c>
      <c r="N222" s="11">
        <v>0</v>
      </c>
      <c r="O222" s="55">
        <f t="shared" si="3"/>
        <v>0</v>
      </c>
      <c r="P222" s="11"/>
      <c r="Q222" s="11" t="s">
        <v>37</v>
      </c>
      <c r="R222" s="11" t="s">
        <v>37</v>
      </c>
      <c r="S222" s="11" t="s">
        <v>37</v>
      </c>
      <c r="T222" s="11" t="s">
        <v>37</v>
      </c>
      <c r="U222" s="11" t="s">
        <v>317</v>
      </c>
    </row>
    <row r="223" spans="1:21" s="1" customFormat="1" ht="14.4" x14ac:dyDescent="0.3">
      <c r="A223" s="11" t="s">
        <v>338</v>
      </c>
      <c r="B223" s="11" t="s">
        <v>338</v>
      </c>
      <c r="C223" s="11" t="s">
        <v>37</v>
      </c>
      <c r="D223" s="11" t="s">
        <v>308</v>
      </c>
      <c r="E223" s="12">
        <v>1</v>
      </c>
      <c r="F223" s="11" t="s">
        <v>1287</v>
      </c>
      <c r="G223" s="11" t="s">
        <v>23</v>
      </c>
      <c r="H223" s="11" t="s">
        <v>24</v>
      </c>
      <c r="I223" s="11" t="s">
        <v>25</v>
      </c>
      <c r="J223" s="11" t="s">
        <v>26</v>
      </c>
      <c r="K223" s="11" t="s">
        <v>37</v>
      </c>
      <c r="L223" s="50">
        <v>46106</v>
      </c>
      <c r="M223" s="11" t="s">
        <v>1224</v>
      </c>
      <c r="N223" s="11">
        <v>0</v>
      </c>
      <c r="O223" s="55">
        <f t="shared" si="3"/>
        <v>0</v>
      </c>
      <c r="P223" s="11"/>
      <c r="Q223" s="11"/>
      <c r="R223" s="11"/>
      <c r="S223" s="11"/>
      <c r="T223" s="11"/>
      <c r="U223" s="11" t="s">
        <v>317</v>
      </c>
    </row>
    <row r="224" spans="1:21" s="1" customFormat="1" ht="14.4" x14ac:dyDescent="0.3">
      <c r="A224" s="11" t="s">
        <v>339</v>
      </c>
      <c r="B224" s="11" t="s">
        <v>339</v>
      </c>
      <c r="C224" s="11" t="s">
        <v>37</v>
      </c>
      <c r="D224" s="11" t="s">
        <v>1326</v>
      </c>
      <c r="E224" s="12">
        <v>1</v>
      </c>
      <c r="F224" s="11" t="s">
        <v>37</v>
      </c>
      <c r="G224" s="11" t="s">
        <v>23</v>
      </c>
      <c r="H224" s="11" t="s">
        <v>24</v>
      </c>
      <c r="I224" s="11" t="s">
        <v>25</v>
      </c>
      <c r="J224" s="11" t="s">
        <v>26</v>
      </c>
      <c r="K224" s="11" t="s">
        <v>37</v>
      </c>
      <c r="L224" s="50">
        <v>46104</v>
      </c>
      <c r="M224" s="11" t="s">
        <v>37</v>
      </c>
      <c r="N224" s="11">
        <v>0</v>
      </c>
      <c r="O224" s="55">
        <f t="shared" si="3"/>
        <v>0</v>
      </c>
      <c r="P224" s="11"/>
      <c r="Q224" s="11" t="s">
        <v>37</v>
      </c>
      <c r="R224" s="11" t="s">
        <v>37</v>
      </c>
      <c r="S224" s="11" t="s">
        <v>37</v>
      </c>
      <c r="T224" s="11" t="s">
        <v>37</v>
      </c>
      <c r="U224" s="11" t="s">
        <v>317</v>
      </c>
    </row>
    <row r="225" spans="1:21" s="1" customFormat="1" ht="14.4" x14ac:dyDescent="0.3">
      <c r="A225" s="11" t="s">
        <v>340</v>
      </c>
      <c r="B225" s="11" t="s">
        <v>340</v>
      </c>
      <c r="C225" s="11" t="s">
        <v>37</v>
      </c>
      <c r="D225" s="11" t="s">
        <v>1326</v>
      </c>
      <c r="E225" s="12">
        <v>1</v>
      </c>
      <c r="F225" s="11" t="s">
        <v>37</v>
      </c>
      <c r="G225" s="11" t="s">
        <v>23</v>
      </c>
      <c r="H225" s="11" t="s">
        <v>24</v>
      </c>
      <c r="I225" s="11" t="s">
        <v>25</v>
      </c>
      <c r="J225" s="11" t="s">
        <v>26</v>
      </c>
      <c r="K225" s="11"/>
      <c r="L225" s="11"/>
      <c r="M225" s="11" t="s">
        <v>37</v>
      </c>
      <c r="N225" s="11">
        <v>0</v>
      </c>
      <c r="O225" s="55">
        <f t="shared" si="3"/>
        <v>0</v>
      </c>
      <c r="P225" s="11"/>
      <c r="Q225" s="11" t="s">
        <v>37</v>
      </c>
      <c r="R225" s="11" t="s">
        <v>37</v>
      </c>
      <c r="S225" s="11" t="s">
        <v>37</v>
      </c>
      <c r="T225" s="11" t="s">
        <v>37</v>
      </c>
      <c r="U225" s="11" t="s">
        <v>317</v>
      </c>
    </row>
    <row r="226" spans="1:21" s="1" customFormat="1" ht="26.4" x14ac:dyDescent="0.3">
      <c r="A226" s="11" t="s">
        <v>341</v>
      </c>
      <c r="B226" s="11"/>
      <c r="C226" s="12" t="s">
        <v>342</v>
      </c>
      <c r="D226" s="12" t="s">
        <v>308</v>
      </c>
      <c r="E226" s="12">
        <v>1</v>
      </c>
      <c r="F226" s="11" t="s">
        <v>37</v>
      </c>
      <c r="G226" s="12" t="s">
        <v>23</v>
      </c>
      <c r="H226" s="12" t="s">
        <v>24</v>
      </c>
      <c r="I226" s="12" t="s">
        <v>343</v>
      </c>
      <c r="J226" s="12" t="s">
        <v>72</v>
      </c>
      <c r="K226" s="12" t="s">
        <v>37</v>
      </c>
      <c r="L226" s="15">
        <v>46101</v>
      </c>
      <c r="M226" s="12"/>
      <c r="N226" s="12">
        <v>0</v>
      </c>
      <c r="O226" s="14">
        <f t="shared" si="3"/>
        <v>0</v>
      </c>
      <c r="P226" s="12" t="s">
        <v>73</v>
      </c>
      <c r="Q226" s="12" t="s">
        <v>37</v>
      </c>
      <c r="R226" s="12" t="s">
        <v>37</v>
      </c>
      <c r="S226" s="12" t="s">
        <v>37</v>
      </c>
      <c r="T226" s="12" t="s">
        <v>37</v>
      </c>
      <c r="U226" s="12" t="s">
        <v>317</v>
      </c>
    </row>
    <row r="227" spans="1:21" s="1" customFormat="1" ht="26.4" x14ac:dyDescent="0.3">
      <c r="A227" s="11" t="s">
        <v>344</v>
      </c>
      <c r="B227" s="11"/>
      <c r="C227" s="12" t="s">
        <v>342</v>
      </c>
      <c r="D227" s="12" t="s">
        <v>308</v>
      </c>
      <c r="E227" s="12">
        <v>1</v>
      </c>
      <c r="F227" s="11" t="s">
        <v>37</v>
      </c>
      <c r="G227" s="12" t="s">
        <v>23</v>
      </c>
      <c r="H227" s="12" t="s">
        <v>24</v>
      </c>
      <c r="I227" s="12" t="s">
        <v>343</v>
      </c>
      <c r="J227" s="12" t="s">
        <v>72</v>
      </c>
      <c r="K227" s="12" t="s">
        <v>37</v>
      </c>
      <c r="L227" s="15">
        <v>46101</v>
      </c>
      <c r="M227" s="12"/>
      <c r="N227" s="12">
        <v>0</v>
      </c>
      <c r="O227" s="14">
        <f t="shared" si="3"/>
        <v>0</v>
      </c>
      <c r="P227" s="12" t="s">
        <v>73</v>
      </c>
      <c r="Q227" s="12" t="s">
        <v>37</v>
      </c>
      <c r="R227" s="12" t="s">
        <v>37</v>
      </c>
      <c r="S227" s="12" t="s">
        <v>37</v>
      </c>
      <c r="T227" s="12" t="s">
        <v>37</v>
      </c>
      <c r="U227" s="12" t="s">
        <v>317</v>
      </c>
    </row>
    <row r="228" spans="1:21" s="1" customFormat="1" ht="26.4" x14ac:dyDescent="0.3">
      <c r="A228" s="11" t="s">
        <v>345</v>
      </c>
      <c r="B228" s="11"/>
      <c r="C228" s="12" t="s">
        <v>342</v>
      </c>
      <c r="D228" s="12" t="s">
        <v>308</v>
      </c>
      <c r="E228" s="12">
        <v>1</v>
      </c>
      <c r="F228" s="11" t="s">
        <v>37</v>
      </c>
      <c r="G228" s="12" t="s">
        <v>23</v>
      </c>
      <c r="H228" s="12" t="s">
        <v>24</v>
      </c>
      <c r="I228" s="12" t="s">
        <v>343</v>
      </c>
      <c r="J228" s="12" t="s">
        <v>72</v>
      </c>
      <c r="K228" s="12" t="s">
        <v>37</v>
      </c>
      <c r="L228" s="15">
        <v>46101</v>
      </c>
      <c r="M228" s="12"/>
      <c r="N228" s="12">
        <v>0</v>
      </c>
      <c r="O228" s="14">
        <f t="shared" si="3"/>
        <v>0</v>
      </c>
      <c r="P228" s="12" t="s">
        <v>73</v>
      </c>
      <c r="Q228" s="12" t="s">
        <v>37</v>
      </c>
      <c r="R228" s="12" t="s">
        <v>37</v>
      </c>
      <c r="S228" s="12" t="s">
        <v>37</v>
      </c>
      <c r="T228" s="12" t="s">
        <v>37</v>
      </c>
      <c r="U228" s="12" t="s">
        <v>317</v>
      </c>
    </row>
    <row r="229" spans="1:21" s="1" customFormat="1" ht="26.4" x14ac:dyDescent="0.3">
      <c r="A229" s="11" t="s">
        <v>346</v>
      </c>
      <c r="B229" s="11"/>
      <c r="C229" s="12" t="s">
        <v>342</v>
      </c>
      <c r="D229" s="12" t="s">
        <v>308</v>
      </c>
      <c r="E229" s="12">
        <v>1</v>
      </c>
      <c r="F229" s="11" t="s">
        <v>37</v>
      </c>
      <c r="G229" s="12" t="s">
        <v>23</v>
      </c>
      <c r="H229" s="12" t="s">
        <v>24</v>
      </c>
      <c r="I229" s="12" t="s">
        <v>343</v>
      </c>
      <c r="J229" s="12" t="s">
        <v>72</v>
      </c>
      <c r="K229" s="12" t="s">
        <v>37</v>
      </c>
      <c r="L229" s="15">
        <v>46101</v>
      </c>
      <c r="M229" s="12"/>
      <c r="N229" s="12">
        <v>0</v>
      </c>
      <c r="O229" s="14">
        <f t="shared" si="3"/>
        <v>0</v>
      </c>
      <c r="P229" s="12" t="s">
        <v>73</v>
      </c>
      <c r="Q229" s="12" t="s">
        <v>37</v>
      </c>
      <c r="R229" s="12" t="s">
        <v>37</v>
      </c>
      <c r="S229" s="12" t="s">
        <v>37</v>
      </c>
      <c r="T229" s="12" t="s">
        <v>37</v>
      </c>
      <c r="U229" s="12" t="s">
        <v>317</v>
      </c>
    </row>
    <row r="230" spans="1:21" s="1" customFormat="1" ht="26.4" x14ac:dyDescent="0.3">
      <c r="A230" s="11" t="s">
        <v>347</v>
      </c>
      <c r="B230" s="11" t="s">
        <v>1245</v>
      </c>
      <c r="C230" s="11" t="s">
        <v>348</v>
      </c>
      <c r="D230" s="11" t="s">
        <v>349</v>
      </c>
      <c r="E230" s="11">
        <v>1</v>
      </c>
      <c r="F230" s="5" t="s">
        <v>1287</v>
      </c>
      <c r="G230" s="11" t="s">
        <v>23</v>
      </c>
      <c r="H230" s="11" t="s">
        <v>24</v>
      </c>
      <c r="I230" s="11" t="s">
        <v>25</v>
      </c>
      <c r="J230" s="11" t="s">
        <v>26</v>
      </c>
      <c r="K230" s="50">
        <v>42185</v>
      </c>
      <c r="L230" s="50">
        <v>46085</v>
      </c>
      <c r="M230" s="11" t="s">
        <v>1224</v>
      </c>
      <c r="N230" s="11">
        <v>39363.11</v>
      </c>
      <c r="O230" s="55">
        <f t="shared" si="3"/>
        <v>39363.11</v>
      </c>
      <c r="P230" s="11" t="s">
        <v>50</v>
      </c>
      <c r="Q230" s="11"/>
      <c r="R230" s="11"/>
      <c r="S230" s="11"/>
      <c r="T230" s="11"/>
      <c r="U230" s="73" t="s">
        <v>347</v>
      </c>
    </row>
    <row r="231" spans="1:21" s="1" customFormat="1" ht="26.4" x14ac:dyDescent="0.3">
      <c r="A231" s="11" t="s">
        <v>1227</v>
      </c>
      <c r="B231" s="11" t="s">
        <v>1229</v>
      </c>
      <c r="C231" s="11" t="s">
        <v>1226</v>
      </c>
      <c r="D231" s="11" t="s">
        <v>349</v>
      </c>
      <c r="E231" s="11">
        <v>1</v>
      </c>
      <c r="F231" s="5" t="s">
        <v>1287</v>
      </c>
      <c r="G231" s="11" t="s">
        <v>23</v>
      </c>
      <c r="H231" s="11" t="s">
        <v>24</v>
      </c>
      <c r="I231" s="11" t="s">
        <v>25</v>
      </c>
      <c r="J231" s="11" t="s">
        <v>26</v>
      </c>
      <c r="K231" s="50">
        <v>41844</v>
      </c>
      <c r="L231" s="50">
        <v>46084</v>
      </c>
      <c r="M231" s="11" t="s">
        <v>1224</v>
      </c>
      <c r="N231" s="11">
        <v>908605</v>
      </c>
      <c r="O231" s="55">
        <f t="shared" si="3"/>
        <v>908605</v>
      </c>
      <c r="P231" s="11" t="s">
        <v>73</v>
      </c>
      <c r="Q231" s="5" t="s">
        <v>37</v>
      </c>
      <c r="R231" s="34">
        <v>8044464585</v>
      </c>
      <c r="S231" s="5" t="s">
        <v>1223</v>
      </c>
      <c r="T231" s="11" t="s">
        <v>643</v>
      </c>
      <c r="U231" s="73" t="s">
        <v>350</v>
      </c>
    </row>
    <row r="232" spans="1:21" s="1" customFormat="1" ht="26.4" x14ac:dyDescent="0.3">
      <c r="A232" s="11" t="s">
        <v>1228</v>
      </c>
      <c r="B232" s="11" t="s">
        <v>1230</v>
      </c>
      <c r="C232" s="11" t="s">
        <v>1226</v>
      </c>
      <c r="D232" s="11" t="s">
        <v>349</v>
      </c>
      <c r="E232" s="11">
        <v>1</v>
      </c>
      <c r="F232" s="5" t="s">
        <v>1287</v>
      </c>
      <c r="G232" s="11" t="s">
        <v>23</v>
      </c>
      <c r="H232" s="11" t="s">
        <v>24</v>
      </c>
      <c r="I232" s="11" t="s">
        <v>25</v>
      </c>
      <c r="J232" s="11" t="s">
        <v>26</v>
      </c>
      <c r="K232" s="50">
        <v>41844</v>
      </c>
      <c r="L232" s="50">
        <v>46084</v>
      </c>
      <c r="M232" s="11" t="s">
        <v>1224</v>
      </c>
      <c r="N232" s="11">
        <v>908605</v>
      </c>
      <c r="O232" s="55">
        <f t="shared" si="3"/>
        <v>908605</v>
      </c>
      <c r="P232" s="11" t="s">
        <v>73</v>
      </c>
      <c r="Q232" s="5" t="s">
        <v>37</v>
      </c>
      <c r="R232" s="34">
        <v>8044464585</v>
      </c>
      <c r="S232" s="5" t="s">
        <v>1223</v>
      </c>
      <c r="T232" s="11" t="s">
        <v>643</v>
      </c>
      <c r="U232" s="73" t="s">
        <v>351</v>
      </c>
    </row>
    <row r="233" spans="1:21" s="1" customFormat="1" ht="26.4" x14ac:dyDescent="0.3">
      <c r="A233" s="11" t="s">
        <v>352</v>
      </c>
      <c r="B233" s="11" t="s">
        <v>353</v>
      </c>
      <c r="C233" s="11" t="s">
        <v>1243</v>
      </c>
      <c r="D233" s="11" t="s">
        <v>349</v>
      </c>
      <c r="E233" s="12">
        <v>1</v>
      </c>
      <c r="F233" s="11" t="s">
        <v>1287</v>
      </c>
      <c r="G233" s="11" t="s">
        <v>23</v>
      </c>
      <c r="H233" s="11" t="s">
        <v>24</v>
      </c>
      <c r="I233" s="11" t="s">
        <v>25</v>
      </c>
      <c r="J233" s="11" t="s">
        <v>26</v>
      </c>
      <c r="K233" s="11" t="s">
        <v>37</v>
      </c>
      <c r="L233" s="50">
        <v>46106</v>
      </c>
      <c r="M233" s="11" t="s">
        <v>1224</v>
      </c>
      <c r="N233" s="11">
        <v>0</v>
      </c>
      <c r="O233" s="55">
        <f t="shared" si="3"/>
        <v>0</v>
      </c>
      <c r="P233" s="11"/>
      <c r="Q233" s="11"/>
      <c r="R233" s="11"/>
      <c r="S233" s="11"/>
      <c r="T233" s="11"/>
      <c r="U233" s="73" t="s">
        <v>352</v>
      </c>
    </row>
    <row r="234" spans="1:21" s="1" customFormat="1" ht="26.4" x14ac:dyDescent="0.3">
      <c r="A234" s="11" t="s">
        <v>354</v>
      </c>
      <c r="B234" s="11" t="s">
        <v>355</v>
      </c>
      <c r="C234" s="11" t="s">
        <v>1243</v>
      </c>
      <c r="D234" s="11" t="s">
        <v>349</v>
      </c>
      <c r="E234" s="12">
        <v>1</v>
      </c>
      <c r="F234" s="11" t="s">
        <v>1287</v>
      </c>
      <c r="G234" s="11" t="s">
        <v>23</v>
      </c>
      <c r="H234" s="11" t="s">
        <v>24</v>
      </c>
      <c r="I234" s="11" t="s">
        <v>25</v>
      </c>
      <c r="J234" s="11" t="s">
        <v>26</v>
      </c>
      <c r="K234" s="11" t="s">
        <v>37</v>
      </c>
      <c r="L234" s="50">
        <v>46106</v>
      </c>
      <c r="M234" s="11" t="s">
        <v>1224</v>
      </c>
      <c r="N234" s="11">
        <v>0</v>
      </c>
      <c r="O234" s="55">
        <f t="shared" si="3"/>
        <v>0</v>
      </c>
      <c r="P234" s="11"/>
      <c r="Q234" s="11"/>
      <c r="R234" s="11"/>
      <c r="S234" s="11"/>
      <c r="T234" s="11"/>
      <c r="U234" s="73" t="s">
        <v>354</v>
      </c>
    </row>
    <row r="235" spans="1:21" s="1" customFormat="1" ht="39.6" x14ac:dyDescent="0.3">
      <c r="A235" s="11" t="s">
        <v>1233</v>
      </c>
      <c r="B235" s="11" t="s">
        <v>1235</v>
      </c>
      <c r="C235" s="11" t="s">
        <v>70</v>
      </c>
      <c r="D235" s="11" t="s">
        <v>349</v>
      </c>
      <c r="E235" s="11">
        <v>1</v>
      </c>
      <c r="F235" s="5" t="s">
        <v>1287</v>
      </c>
      <c r="G235" s="11" t="s">
        <v>23</v>
      </c>
      <c r="H235" s="11" t="s">
        <v>24</v>
      </c>
      <c r="I235" s="11" t="s">
        <v>25</v>
      </c>
      <c r="J235" s="11" t="s">
        <v>26</v>
      </c>
      <c r="K235" s="50">
        <v>42140</v>
      </c>
      <c r="L235" s="50">
        <v>46084</v>
      </c>
      <c r="M235" s="11" t="s">
        <v>1224</v>
      </c>
      <c r="N235" s="11">
        <v>1298149</v>
      </c>
      <c r="O235" s="55">
        <f t="shared" si="3"/>
        <v>1298149</v>
      </c>
      <c r="P235" s="11" t="s">
        <v>73</v>
      </c>
      <c r="Q235" s="5" t="s">
        <v>37</v>
      </c>
      <c r="R235" s="34">
        <v>8044464585</v>
      </c>
      <c r="S235" s="5" t="s">
        <v>1223</v>
      </c>
      <c r="T235" s="11" t="s">
        <v>643</v>
      </c>
      <c r="U235" s="73" t="s">
        <v>356</v>
      </c>
    </row>
    <row r="236" spans="1:21" s="1" customFormat="1" ht="26.4" x14ac:dyDescent="0.3">
      <c r="A236" s="11" t="s">
        <v>1234</v>
      </c>
      <c r="B236" s="11" t="s">
        <v>1236</v>
      </c>
      <c r="C236" s="11" t="s">
        <v>37</v>
      </c>
      <c r="D236" s="11" t="s">
        <v>349</v>
      </c>
      <c r="E236" s="11">
        <v>1</v>
      </c>
      <c r="F236" s="5" t="s">
        <v>1287</v>
      </c>
      <c r="G236" s="11" t="s">
        <v>23</v>
      </c>
      <c r="H236" s="11" t="s">
        <v>24</v>
      </c>
      <c r="I236" s="11" t="s">
        <v>25</v>
      </c>
      <c r="J236" s="11" t="s">
        <v>26</v>
      </c>
      <c r="K236" s="50">
        <v>42140</v>
      </c>
      <c r="L236" s="50">
        <v>46084</v>
      </c>
      <c r="M236" s="11" t="s">
        <v>1224</v>
      </c>
      <c r="N236" s="11">
        <v>1298149</v>
      </c>
      <c r="O236" s="55">
        <f t="shared" si="3"/>
        <v>1298149</v>
      </c>
      <c r="P236" s="11" t="s">
        <v>73</v>
      </c>
      <c r="Q236" s="5" t="s">
        <v>37</v>
      </c>
      <c r="R236" s="34">
        <v>8044464585</v>
      </c>
      <c r="S236" s="5" t="s">
        <v>1223</v>
      </c>
      <c r="T236" s="11" t="s">
        <v>643</v>
      </c>
      <c r="U236" s="73" t="s">
        <v>357</v>
      </c>
    </row>
    <row r="237" spans="1:21" s="1" customFormat="1" ht="26.4" x14ac:dyDescent="0.3">
      <c r="A237" s="11" t="s">
        <v>1231</v>
      </c>
      <c r="B237" s="11" t="s">
        <v>359</v>
      </c>
      <c r="C237" s="11" t="s">
        <v>348</v>
      </c>
      <c r="D237" s="11" t="s">
        <v>349</v>
      </c>
      <c r="E237" s="12">
        <v>1</v>
      </c>
      <c r="F237" s="11" t="s">
        <v>1287</v>
      </c>
      <c r="G237" s="11" t="s">
        <v>23</v>
      </c>
      <c r="H237" s="11" t="s">
        <v>24</v>
      </c>
      <c r="I237" s="11" t="s">
        <v>25</v>
      </c>
      <c r="J237" s="11" t="s">
        <v>26</v>
      </c>
      <c r="K237" s="11" t="s">
        <v>37</v>
      </c>
      <c r="L237" s="50">
        <v>46106</v>
      </c>
      <c r="M237" s="11" t="s">
        <v>1224</v>
      </c>
      <c r="N237" s="11">
        <v>0</v>
      </c>
      <c r="O237" s="55">
        <f t="shared" si="3"/>
        <v>0</v>
      </c>
      <c r="P237" s="11"/>
      <c r="Q237" s="11"/>
      <c r="R237" s="11"/>
      <c r="S237" s="11"/>
      <c r="T237" s="11"/>
      <c r="U237" s="73" t="s">
        <v>358</v>
      </c>
    </row>
    <row r="238" spans="1:21" s="1" customFormat="1" ht="26.4" x14ac:dyDescent="0.3">
      <c r="A238" s="11" t="s">
        <v>1232</v>
      </c>
      <c r="B238" s="11" t="s">
        <v>359</v>
      </c>
      <c r="C238" s="11" t="s">
        <v>348</v>
      </c>
      <c r="D238" s="11" t="s">
        <v>349</v>
      </c>
      <c r="E238" s="12">
        <v>1</v>
      </c>
      <c r="F238" s="11" t="s">
        <v>1287</v>
      </c>
      <c r="G238" s="11" t="s">
        <v>23</v>
      </c>
      <c r="H238" s="11" t="s">
        <v>24</v>
      </c>
      <c r="I238" s="11" t="s">
        <v>25</v>
      </c>
      <c r="J238" s="11" t="s">
        <v>26</v>
      </c>
      <c r="K238" s="11" t="s">
        <v>37</v>
      </c>
      <c r="L238" s="50">
        <v>46106</v>
      </c>
      <c r="M238" s="11" t="s">
        <v>1224</v>
      </c>
      <c r="N238" s="11">
        <v>0</v>
      </c>
      <c r="O238" s="55">
        <f t="shared" si="3"/>
        <v>0</v>
      </c>
      <c r="P238" s="11"/>
      <c r="Q238" s="11"/>
      <c r="R238" s="11"/>
      <c r="S238" s="11"/>
      <c r="T238" s="11"/>
      <c r="U238" s="73" t="s">
        <v>360</v>
      </c>
    </row>
    <row r="239" spans="1:21" s="1" customFormat="1" ht="14.4" x14ac:dyDescent="0.3">
      <c r="A239" s="11" t="s">
        <v>361</v>
      </c>
      <c r="B239" s="11" t="s">
        <v>362</v>
      </c>
      <c r="C239" s="11" t="s">
        <v>363</v>
      </c>
      <c r="D239" s="11" t="s">
        <v>349</v>
      </c>
      <c r="E239" s="12">
        <v>1</v>
      </c>
      <c r="F239" s="11" t="s">
        <v>1287</v>
      </c>
      <c r="G239" s="11" t="s">
        <v>23</v>
      </c>
      <c r="H239" s="11" t="s">
        <v>24</v>
      </c>
      <c r="I239" s="11" t="s">
        <v>25</v>
      </c>
      <c r="J239" s="11" t="s">
        <v>26</v>
      </c>
      <c r="K239" s="11" t="s">
        <v>37</v>
      </c>
      <c r="L239" s="50">
        <v>46106</v>
      </c>
      <c r="M239" s="11" t="s">
        <v>1224</v>
      </c>
      <c r="N239" s="11">
        <v>0</v>
      </c>
      <c r="O239" s="55">
        <f t="shared" si="3"/>
        <v>0</v>
      </c>
      <c r="P239" s="11"/>
      <c r="Q239" s="11"/>
      <c r="R239" s="11"/>
      <c r="S239" s="11"/>
      <c r="T239" s="11"/>
      <c r="U239" s="80" t="s">
        <v>361</v>
      </c>
    </row>
    <row r="240" spans="1:21" s="1" customFormat="1" ht="14.4" x14ac:dyDescent="0.3">
      <c r="A240" s="11" t="s">
        <v>361</v>
      </c>
      <c r="B240" s="11" t="s">
        <v>364</v>
      </c>
      <c r="C240" s="11" t="s">
        <v>363</v>
      </c>
      <c r="D240" s="11" t="s">
        <v>349</v>
      </c>
      <c r="E240" s="12">
        <v>1</v>
      </c>
      <c r="F240" s="11" t="s">
        <v>1287</v>
      </c>
      <c r="G240" s="11" t="s">
        <v>23</v>
      </c>
      <c r="H240" s="11" t="s">
        <v>24</v>
      </c>
      <c r="I240" s="11" t="s">
        <v>25</v>
      </c>
      <c r="J240" s="11" t="s">
        <v>26</v>
      </c>
      <c r="K240" s="11" t="s">
        <v>37</v>
      </c>
      <c r="L240" s="50">
        <v>46106</v>
      </c>
      <c r="M240" s="11" t="s">
        <v>1224</v>
      </c>
      <c r="N240" s="11">
        <v>0</v>
      </c>
      <c r="O240" s="55">
        <f t="shared" si="3"/>
        <v>0</v>
      </c>
      <c r="P240" s="11"/>
      <c r="Q240" s="11"/>
      <c r="R240" s="11"/>
      <c r="S240" s="11"/>
      <c r="T240" s="11"/>
      <c r="U240" s="80" t="s">
        <v>361</v>
      </c>
    </row>
    <row r="241" spans="1:21" s="1" customFormat="1" ht="14.4" x14ac:dyDescent="0.3">
      <c r="A241" s="11" t="s">
        <v>365</v>
      </c>
      <c r="B241" s="11" t="s">
        <v>366</v>
      </c>
      <c r="C241" s="11" t="s">
        <v>363</v>
      </c>
      <c r="D241" s="11" t="s">
        <v>349</v>
      </c>
      <c r="E241" s="12">
        <v>1</v>
      </c>
      <c r="F241" s="11" t="s">
        <v>1287</v>
      </c>
      <c r="G241" s="11" t="s">
        <v>23</v>
      </c>
      <c r="H241" s="11" t="s">
        <v>24</v>
      </c>
      <c r="I241" s="11" t="s">
        <v>25</v>
      </c>
      <c r="J241" s="11" t="s">
        <v>26</v>
      </c>
      <c r="K241" s="11" t="s">
        <v>37</v>
      </c>
      <c r="L241" s="50">
        <v>46106</v>
      </c>
      <c r="M241" s="11" t="s">
        <v>1224</v>
      </c>
      <c r="N241" s="11">
        <v>0</v>
      </c>
      <c r="O241" s="55">
        <f t="shared" si="3"/>
        <v>0</v>
      </c>
      <c r="P241" s="11"/>
      <c r="Q241" s="11"/>
      <c r="R241" s="11"/>
      <c r="S241" s="11"/>
      <c r="T241" s="11"/>
      <c r="U241" s="80" t="s">
        <v>365</v>
      </c>
    </row>
    <row r="242" spans="1:21" s="1" customFormat="1" ht="14.4" x14ac:dyDescent="0.3">
      <c r="A242" s="11" t="s">
        <v>365</v>
      </c>
      <c r="B242" s="11" t="s">
        <v>367</v>
      </c>
      <c r="C242" s="11" t="s">
        <v>363</v>
      </c>
      <c r="D242" s="11" t="s">
        <v>349</v>
      </c>
      <c r="E242" s="12">
        <v>1</v>
      </c>
      <c r="F242" s="11" t="s">
        <v>1287</v>
      </c>
      <c r="G242" s="11" t="s">
        <v>23</v>
      </c>
      <c r="H242" s="11" t="s">
        <v>24</v>
      </c>
      <c r="I242" s="11" t="s">
        <v>25</v>
      </c>
      <c r="J242" s="11" t="s">
        <v>26</v>
      </c>
      <c r="K242" s="11" t="s">
        <v>37</v>
      </c>
      <c r="L242" s="50">
        <v>46106</v>
      </c>
      <c r="M242" s="11" t="s">
        <v>1224</v>
      </c>
      <c r="N242" s="11">
        <v>0</v>
      </c>
      <c r="O242" s="55">
        <f t="shared" si="3"/>
        <v>0</v>
      </c>
      <c r="P242" s="11"/>
      <c r="Q242" s="11"/>
      <c r="R242" s="11"/>
      <c r="S242" s="11"/>
      <c r="T242" s="11"/>
      <c r="U242" s="80" t="s">
        <v>365</v>
      </c>
    </row>
    <row r="243" spans="1:21" s="1" customFormat="1" ht="26.4" x14ac:dyDescent="0.3">
      <c r="A243" s="11" t="s">
        <v>1238</v>
      </c>
      <c r="B243" s="11" t="s">
        <v>1240</v>
      </c>
      <c r="C243" s="11" t="s">
        <v>37</v>
      </c>
      <c r="D243" s="11" t="s">
        <v>349</v>
      </c>
      <c r="E243" s="11">
        <v>1</v>
      </c>
      <c r="F243" s="5" t="s">
        <v>1287</v>
      </c>
      <c r="G243" s="11" t="s">
        <v>23</v>
      </c>
      <c r="H243" s="11" t="s">
        <v>24</v>
      </c>
      <c r="I243" s="11" t="s">
        <v>25</v>
      </c>
      <c r="J243" s="11" t="s">
        <v>26</v>
      </c>
      <c r="K243" s="50">
        <v>42140</v>
      </c>
      <c r="L243" s="50">
        <v>46084</v>
      </c>
      <c r="M243" s="11" t="s">
        <v>1224</v>
      </c>
      <c r="N243" s="11">
        <v>153700</v>
      </c>
      <c r="O243" s="55">
        <f t="shared" si="3"/>
        <v>153700</v>
      </c>
      <c r="P243" s="11" t="s">
        <v>73</v>
      </c>
      <c r="Q243" s="5" t="s">
        <v>37</v>
      </c>
      <c r="R243" s="34">
        <v>8044464585</v>
      </c>
      <c r="S243" s="5" t="s">
        <v>1223</v>
      </c>
      <c r="T243" s="11" t="s">
        <v>643</v>
      </c>
      <c r="U243" s="73" t="s">
        <v>368</v>
      </c>
    </row>
    <row r="244" spans="1:21" s="1" customFormat="1" ht="26.4" x14ac:dyDescent="0.3">
      <c r="A244" s="11" t="s">
        <v>1239</v>
      </c>
      <c r="B244" s="11" t="s">
        <v>1240</v>
      </c>
      <c r="C244" s="11" t="s">
        <v>37</v>
      </c>
      <c r="D244" s="11" t="s">
        <v>349</v>
      </c>
      <c r="E244" s="11">
        <v>1</v>
      </c>
      <c r="F244" s="5" t="s">
        <v>1287</v>
      </c>
      <c r="G244" s="11" t="s">
        <v>23</v>
      </c>
      <c r="H244" s="11" t="s">
        <v>24</v>
      </c>
      <c r="I244" s="11" t="s">
        <v>25</v>
      </c>
      <c r="J244" s="11" t="s">
        <v>26</v>
      </c>
      <c r="K244" s="50">
        <v>42140</v>
      </c>
      <c r="L244" s="50">
        <v>46084</v>
      </c>
      <c r="M244" s="11" t="s">
        <v>1224</v>
      </c>
      <c r="N244" s="11">
        <v>153700</v>
      </c>
      <c r="O244" s="55">
        <f t="shared" si="3"/>
        <v>153700</v>
      </c>
      <c r="P244" s="11" t="s">
        <v>73</v>
      </c>
      <c r="Q244" s="5" t="s">
        <v>37</v>
      </c>
      <c r="R244" s="34">
        <v>8044464585</v>
      </c>
      <c r="S244" s="5" t="s">
        <v>1223</v>
      </c>
      <c r="T244" s="11" t="s">
        <v>643</v>
      </c>
      <c r="U244" s="73" t="s">
        <v>369</v>
      </c>
    </row>
    <row r="245" spans="1:21" s="1" customFormat="1" ht="14.4" x14ac:dyDescent="0.3">
      <c r="A245" s="11" t="s">
        <v>370</v>
      </c>
      <c r="B245" s="25" t="s">
        <v>371</v>
      </c>
      <c r="C245" s="11" t="s">
        <v>372</v>
      </c>
      <c r="D245" s="11" t="s">
        <v>349</v>
      </c>
      <c r="E245" s="11">
        <v>1</v>
      </c>
      <c r="F245" s="11" t="s">
        <v>37</v>
      </c>
      <c r="G245" s="11" t="s">
        <v>23</v>
      </c>
      <c r="H245" s="11" t="s">
        <v>24</v>
      </c>
      <c r="I245" s="11" t="s">
        <v>25</v>
      </c>
      <c r="J245" s="11" t="s">
        <v>26</v>
      </c>
      <c r="K245" s="52" t="s">
        <v>37</v>
      </c>
      <c r="L245" s="50">
        <v>46101</v>
      </c>
      <c r="M245" s="11" t="s">
        <v>37</v>
      </c>
      <c r="N245" s="11">
        <v>0</v>
      </c>
      <c r="O245" s="55">
        <f t="shared" si="3"/>
        <v>0</v>
      </c>
      <c r="P245" s="11" t="s">
        <v>73</v>
      </c>
      <c r="Q245" s="26" t="s">
        <v>37</v>
      </c>
      <c r="R245" s="26" t="s">
        <v>37</v>
      </c>
      <c r="S245" s="26" t="s">
        <v>37</v>
      </c>
      <c r="T245" s="26" t="s">
        <v>37</v>
      </c>
      <c r="U245" s="80" t="s">
        <v>373</v>
      </c>
    </row>
    <row r="246" spans="1:21" s="1" customFormat="1" ht="26.4" x14ac:dyDescent="0.3">
      <c r="A246" s="11" t="s">
        <v>1402</v>
      </c>
      <c r="B246" s="11" t="s">
        <v>1237</v>
      </c>
      <c r="C246" s="11" t="s">
        <v>375</v>
      </c>
      <c r="D246" s="11" t="s">
        <v>349</v>
      </c>
      <c r="E246" s="11">
        <v>1</v>
      </c>
      <c r="F246" s="11" t="s">
        <v>37</v>
      </c>
      <c r="G246" s="11" t="s">
        <v>23</v>
      </c>
      <c r="H246" s="11" t="s">
        <v>24</v>
      </c>
      <c r="I246" s="11" t="s">
        <v>25</v>
      </c>
      <c r="J246" s="11" t="s">
        <v>26</v>
      </c>
      <c r="K246" s="52" t="s">
        <v>37</v>
      </c>
      <c r="L246" s="50">
        <v>46101</v>
      </c>
      <c r="M246" s="11" t="s">
        <v>37</v>
      </c>
      <c r="N246" s="11">
        <v>0</v>
      </c>
      <c r="O246" s="55">
        <f t="shared" si="3"/>
        <v>0</v>
      </c>
      <c r="P246" s="11" t="s">
        <v>73</v>
      </c>
      <c r="Q246" s="26" t="s">
        <v>37</v>
      </c>
      <c r="R246" s="26" t="s">
        <v>37</v>
      </c>
      <c r="S246" s="26" t="s">
        <v>37</v>
      </c>
      <c r="T246" s="26" t="s">
        <v>37</v>
      </c>
      <c r="U246" s="73" t="s">
        <v>374</v>
      </c>
    </row>
    <row r="247" spans="1:21" s="1" customFormat="1" ht="26.4" x14ac:dyDescent="0.3">
      <c r="A247" s="11" t="s">
        <v>1401</v>
      </c>
      <c r="B247" s="11" t="s">
        <v>1237</v>
      </c>
      <c r="C247" s="11" t="s">
        <v>375</v>
      </c>
      <c r="D247" s="11" t="s">
        <v>349</v>
      </c>
      <c r="E247" s="11">
        <v>1</v>
      </c>
      <c r="F247" s="11" t="s">
        <v>37</v>
      </c>
      <c r="G247" s="11" t="s">
        <v>23</v>
      </c>
      <c r="H247" s="11" t="s">
        <v>24</v>
      </c>
      <c r="I247" s="11" t="s">
        <v>25</v>
      </c>
      <c r="J247" s="11" t="s">
        <v>26</v>
      </c>
      <c r="K247" s="52" t="s">
        <v>37</v>
      </c>
      <c r="L247" s="50">
        <v>46101</v>
      </c>
      <c r="M247" s="11" t="s">
        <v>37</v>
      </c>
      <c r="N247" s="11">
        <v>0</v>
      </c>
      <c r="O247" s="55">
        <f t="shared" si="3"/>
        <v>0</v>
      </c>
      <c r="P247" s="11" t="s">
        <v>73</v>
      </c>
      <c r="Q247" s="26" t="s">
        <v>37</v>
      </c>
      <c r="R247" s="26" t="s">
        <v>37</v>
      </c>
      <c r="S247" s="26" t="s">
        <v>37</v>
      </c>
      <c r="T247" s="26" t="s">
        <v>37</v>
      </c>
      <c r="U247" s="73" t="s">
        <v>376</v>
      </c>
    </row>
    <row r="248" spans="1:21" s="1" customFormat="1" ht="26.4" x14ac:dyDescent="0.3">
      <c r="A248" s="11" t="s">
        <v>377</v>
      </c>
      <c r="B248" s="11" t="s">
        <v>378</v>
      </c>
      <c r="C248" s="24" t="s">
        <v>37</v>
      </c>
      <c r="D248" s="11" t="s">
        <v>349</v>
      </c>
      <c r="E248" s="11">
        <v>1</v>
      </c>
      <c r="F248" s="11" t="s">
        <v>37</v>
      </c>
      <c r="G248" s="11" t="s">
        <v>23</v>
      </c>
      <c r="H248" s="11" t="s">
        <v>24</v>
      </c>
      <c r="I248" s="11" t="s">
        <v>25</v>
      </c>
      <c r="J248" s="11" t="s">
        <v>26</v>
      </c>
      <c r="K248" s="52" t="s">
        <v>37</v>
      </c>
      <c r="L248" s="50">
        <v>46101</v>
      </c>
      <c r="M248" s="11" t="s">
        <v>37</v>
      </c>
      <c r="N248" s="11">
        <v>0</v>
      </c>
      <c r="O248" s="55">
        <f t="shared" si="3"/>
        <v>0</v>
      </c>
      <c r="P248" s="11" t="s">
        <v>73</v>
      </c>
      <c r="Q248" s="26" t="s">
        <v>37</v>
      </c>
      <c r="R248" s="26" t="s">
        <v>37</v>
      </c>
      <c r="S248" s="26" t="s">
        <v>37</v>
      </c>
      <c r="T248" s="26" t="s">
        <v>37</v>
      </c>
      <c r="U248" s="73" t="s">
        <v>379</v>
      </c>
    </row>
    <row r="249" spans="1:21" s="1" customFormat="1" ht="26.4" x14ac:dyDescent="0.3">
      <c r="A249" s="11" t="s">
        <v>377</v>
      </c>
      <c r="B249" s="11" t="s">
        <v>380</v>
      </c>
      <c r="C249" s="24" t="s">
        <v>37</v>
      </c>
      <c r="D249" s="11" t="s">
        <v>349</v>
      </c>
      <c r="E249" s="11">
        <v>1</v>
      </c>
      <c r="F249" s="11" t="s">
        <v>37</v>
      </c>
      <c r="G249" s="11" t="s">
        <v>23</v>
      </c>
      <c r="H249" s="11" t="s">
        <v>24</v>
      </c>
      <c r="I249" s="11" t="s">
        <v>25</v>
      </c>
      <c r="J249" s="11" t="s">
        <v>26</v>
      </c>
      <c r="K249" s="52" t="s">
        <v>37</v>
      </c>
      <c r="L249" s="50">
        <v>46101</v>
      </c>
      <c r="M249" s="11" t="s">
        <v>37</v>
      </c>
      <c r="N249" s="11">
        <v>0</v>
      </c>
      <c r="O249" s="55">
        <f t="shared" si="3"/>
        <v>0</v>
      </c>
      <c r="P249" s="11" t="s">
        <v>73</v>
      </c>
      <c r="Q249" s="26" t="s">
        <v>37</v>
      </c>
      <c r="R249" s="26" t="s">
        <v>37</v>
      </c>
      <c r="S249" s="26" t="s">
        <v>37</v>
      </c>
      <c r="T249" s="26" t="s">
        <v>37</v>
      </c>
      <c r="U249" s="73" t="s">
        <v>381</v>
      </c>
    </row>
    <row r="250" spans="1:21" s="1" customFormat="1" ht="26.4" x14ac:dyDescent="0.3">
      <c r="A250" s="11" t="s">
        <v>382</v>
      </c>
      <c r="B250" s="11" t="s">
        <v>378</v>
      </c>
      <c r="C250" s="24" t="s">
        <v>37</v>
      </c>
      <c r="D250" s="11" t="s">
        <v>349</v>
      </c>
      <c r="E250" s="11">
        <v>1</v>
      </c>
      <c r="F250" s="11" t="s">
        <v>37</v>
      </c>
      <c r="G250" s="11" t="s">
        <v>23</v>
      </c>
      <c r="H250" s="11" t="s">
        <v>24</v>
      </c>
      <c r="I250" s="11" t="s">
        <v>25</v>
      </c>
      <c r="J250" s="11" t="s">
        <v>26</v>
      </c>
      <c r="K250" s="52" t="s">
        <v>37</v>
      </c>
      <c r="L250" s="50">
        <v>46101</v>
      </c>
      <c r="M250" s="11" t="s">
        <v>37</v>
      </c>
      <c r="N250" s="11">
        <v>0</v>
      </c>
      <c r="O250" s="55">
        <f t="shared" si="3"/>
        <v>0</v>
      </c>
      <c r="P250" s="11" t="s">
        <v>73</v>
      </c>
      <c r="Q250" s="26" t="s">
        <v>37</v>
      </c>
      <c r="R250" s="26" t="s">
        <v>37</v>
      </c>
      <c r="S250" s="26" t="s">
        <v>37</v>
      </c>
      <c r="T250" s="26" t="s">
        <v>37</v>
      </c>
      <c r="U250" s="73" t="s">
        <v>383</v>
      </c>
    </row>
    <row r="251" spans="1:21" s="1" customFormat="1" ht="26.4" x14ac:dyDescent="0.3">
      <c r="A251" s="11" t="s">
        <v>382</v>
      </c>
      <c r="B251" s="11" t="s">
        <v>380</v>
      </c>
      <c r="C251" s="24" t="s">
        <v>37</v>
      </c>
      <c r="D251" s="11" t="s">
        <v>349</v>
      </c>
      <c r="E251" s="11">
        <v>1</v>
      </c>
      <c r="F251" s="11" t="s">
        <v>37</v>
      </c>
      <c r="G251" s="11" t="s">
        <v>23</v>
      </c>
      <c r="H251" s="11" t="s">
        <v>24</v>
      </c>
      <c r="I251" s="11" t="s">
        <v>25</v>
      </c>
      <c r="J251" s="11" t="s">
        <v>26</v>
      </c>
      <c r="K251" s="52" t="s">
        <v>37</v>
      </c>
      <c r="L251" s="50">
        <v>46101</v>
      </c>
      <c r="M251" s="11" t="s">
        <v>37</v>
      </c>
      <c r="N251" s="11">
        <v>0</v>
      </c>
      <c r="O251" s="55">
        <f t="shared" si="3"/>
        <v>0</v>
      </c>
      <c r="P251" s="11" t="s">
        <v>73</v>
      </c>
      <c r="Q251" s="26" t="s">
        <v>37</v>
      </c>
      <c r="R251" s="26" t="s">
        <v>37</v>
      </c>
      <c r="S251" s="26" t="s">
        <v>37</v>
      </c>
      <c r="T251" s="26" t="s">
        <v>37</v>
      </c>
      <c r="U251" s="73" t="s">
        <v>384</v>
      </c>
    </row>
    <row r="252" spans="1:21" s="1" customFormat="1" ht="26.4" x14ac:dyDescent="0.3">
      <c r="A252" s="11" t="s">
        <v>385</v>
      </c>
      <c r="B252" s="11" t="s">
        <v>386</v>
      </c>
      <c r="C252" s="11" t="s">
        <v>37</v>
      </c>
      <c r="D252" s="11" t="s">
        <v>349</v>
      </c>
      <c r="E252" s="11">
        <v>1</v>
      </c>
      <c r="F252" s="11" t="s">
        <v>37</v>
      </c>
      <c r="G252" s="11" t="s">
        <v>23</v>
      </c>
      <c r="H252" s="11" t="s">
        <v>24</v>
      </c>
      <c r="I252" s="11" t="s">
        <v>25</v>
      </c>
      <c r="J252" s="11" t="s">
        <v>26</v>
      </c>
      <c r="K252" s="52" t="s">
        <v>37</v>
      </c>
      <c r="L252" s="50">
        <v>46101</v>
      </c>
      <c r="M252" s="11" t="s">
        <v>37</v>
      </c>
      <c r="N252" s="11">
        <v>0</v>
      </c>
      <c r="O252" s="55">
        <f t="shared" si="3"/>
        <v>0</v>
      </c>
      <c r="P252" s="11" t="s">
        <v>73</v>
      </c>
      <c r="Q252" s="26" t="s">
        <v>37</v>
      </c>
      <c r="R252" s="26" t="s">
        <v>37</v>
      </c>
      <c r="S252" s="26" t="s">
        <v>37</v>
      </c>
      <c r="T252" s="26" t="s">
        <v>37</v>
      </c>
      <c r="U252" s="73" t="s">
        <v>385</v>
      </c>
    </row>
    <row r="253" spans="1:21" s="1" customFormat="1" ht="26.4" x14ac:dyDescent="0.3">
      <c r="A253" s="11" t="s">
        <v>387</v>
      </c>
      <c r="B253" s="11" t="s">
        <v>388</v>
      </c>
      <c r="C253" s="11" t="s">
        <v>37</v>
      </c>
      <c r="D253" s="11" t="s">
        <v>349</v>
      </c>
      <c r="E253" s="11">
        <v>1</v>
      </c>
      <c r="F253" s="11" t="s">
        <v>37</v>
      </c>
      <c r="G253" s="11" t="s">
        <v>23</v>
      </c>
      <c r="H253" s="11" t="s">
        <v>24</v>
      </c>
      <c r="I253" s="11" t="s">
        <v>25</v>
      </c>
      <c r="J253" s="11" t="s">
        <v>26</v>
      </c>
      <c r="K253" s="52" t="s">
        <v>37</v>
      </c>
      <c r="L253" s="50">
        <v>46101</v>
      </c>
      <c r="M253" s="11" t="s">
        <v>37</v>
      </c>
      <c r="N253" s="11">
        <v>0</v>
      </c>
      <c r="O253" s="55">
        <f t="shared" si="3"/>
        <v>0</v>
      </c>
      <c r="P253" s="11" t="s">
        <v>73</v>
      </c>
      <c r="Q253" s="26" t="s">
        <v>37</v>
      </c>
      <c r="R253" s="26" t="s">
        <v>37</v>
      </c>
      <c r="S253" s="26" t="s">
        <v>37</v>
      </c>
      <c r="T253" s="26" t="s">
        <v>37</v>
      </c>
      <c r="U253" s="73" t="s">
        <v>387</v>
      </c>
    </row>
    <row r="254" spans="1:21" s="1" customFormat="1" ht="14.4" x14ac:dyDescent="0.3">
      <c r="A254" s="11" t="s">
        <v>389</v>
      </c>
      <c r="B254" s="11" t="s">
        <v>1403</v>
      </c>
      <c r="C254" s="11" t="s">
        <v>37</v>
      </c>
      <c r="D254" s="11" t="s">
        <v>930</v>
      </c>
      <c r="E254" s="11">
        <v>9</v>
      </c>
      <c r="F254" s="5" t="s">
        <v>1383</v>
      </c>
      <c r="G254" s="11" t="s">
        <v>23</v>
      </c>
      <c r="H254" s="11" t="s">
        <v>24</v>
      </c>
      <c r="I254" s="11" t="s">
        <v>25</v>
      </c>
      <c r="J254" s="11" t="s">
        <v>26</v>
      </c>
      <c r="K254" s="50">
        <v>45075</v>
      </c>
      <c r="L254" s="50">
        <v>46104</v>
      </c>
      <c r="M254" s="11" t="s">
        <v>1258</v>
      </c>
      <c r="N254" s="11">
        <v>16638</v>
      </c>
      <c r="O254" s="55">
        <f t="shared" ref="O254:O317" si="4">N254*E254</f>
        <v>149742</v>
      </c>
      <c r="P254" s="11" t="s">
        <v>50</v>
      </c>
      <c r="Q254" s="43" t="s">
        <v>1259</v>
      </c>
      <c r="R254" s="5">
        <v>9820023829</v>
      </c>
      <c r="S254" s="5" t="s">
        <v>1260</v>
      </c>
      <c r="T254" s="11" t="s">
        <v>41</v>
      </c>
      <c r="U254" s="11" t="s">
        <v>37</v>
      </c>
    </row>
    <row r="255" spans="1:21" s="1" customFormat="1" ht="66" x14ac:dyDescent="0.3">
      <c r="A255" s="11" t="s">
        <v>370</v>
      </c>
      <c r="B255" s="5" t="s">
        <v>390</v>
      </c>
      <c r="C255" s="11" t="s">
        <v>37</v>
      </c>
      <c r="D255" s="11" t="s">
        <v>930</v>
      </c>
      <c r="E255" s="11">
        <v>1</v>
      </c>
      <c r="F255" s="5" t="s">
        <v>391</v>
      </c>
      <c r="G255" s="11" t="s">
        <v>23</v>
      </c>
      <c r="H255" s="11" t="s">
        <v>24</v>
      </c>
      <c r="I255" s="11" t="s">
        <v>25</v>
      </c>
      <c r="J255" s="11" t="s">
        <v>26</v>
      </c>
      <c r="K255" s="59">
        <v>42017</v>
      </c>
      <c r="L255" s="50">
        <v>46041</v>
      </c>
      <c r="M255" s="5" t="s">
        <v>392</v>
      </c>
      <c r="N255" s="32">
        <v>425465</v>
      </c>
      <c r="O255" s="55">
        <f t="shared" si="4"/>
        <v>425465</v>
      </c>
      <c r="P255" s="11" t="s">
        <v>73</v>
      </c>
      <c r="Q255" s="43" t="s">
        <v>393</v>
      </c>
      <c r="R255" s="31">
        <v>9867772203</v>
      </c>
      <c r="S255" s="31" t="s">
        <v>394</v>
      </c>
      <c r="T255" s="11" t="s">
        <v>395</v>
      </c>
      <c r="U255" s="11" t="s">
        <v>37</v>
      </c>
    </row>
    <row r="256" spans="1:21" s="1" customFormat="1" ht="66" x14ac:dyDescent="0.3">
      <c r="A256" s="11" t="s">
        <v>370</v>
      </c>
      <c r="B256" s="5" t="s">
        <v>390</v>
      </c>
      <c r="C256" s="11" t="s">
        <v>37</v>
      </c>
      <c r="D256" s="11" t="s">
        <v>930</v>
      </c>
      <c r="E256" s="11">
        <v>1</v>
      </c>
      <c r="F256" s="5" t="s">
        <v>391</v>
      </c>
      <c r="G256" s="11" t="s">
        <v>23</v>
      </c>
      <c r="H256" s="11" t="s">
        <v>24</v>
      </c>
      <c r="I256" s="11" t="s">
        <v>25</v>
      </c>
      <c r="J256" s="11" t="s">
        <v>26</v>
      </c>
      <c r="K256" s="59">
        <v>43549</v>
      </c>
      <c r="L256" s="50">
        <v>46041</v>
      </c>
      <c r="M256" s="5" t="s">
        <v>396</v>
      </c>
      <c r="N256" s="32">
        <v>650472</v>
      </c>
      <c r="O256" s="55">
        <f t="shared" si="4"/>
        <v>650472</v>
      </c>
      <c r="P256" s="11" t="s">
        <v>73</v>
      </c>
      <c r="Q256" s="43" t="s">
        <v>393</v>
      </c>
      <c r="R256" s="31">
        <v>9867772203</v>
      </c>
      <c r="S256" s="31" t="s">
        <v>394</v>
      </c>
      <c r="T256" s="11" t="s">
        <v>397</v>
      </c>
      <c r="U256" s="11" t="s">
        <v>37</v>
      </c>
    </row>
    <row r="257" spans="1:21" s="1" customFormat="1" ht="52.8" x14ac:dyDescent="0.3">
      <c r="A257" s="11" t="s">
        <v>1384</v>
      </c>
      <c r="B257" s="11" t="s">
        <v>1385</v>
      </c>
      <c r="C257" s="11" t="s">
        <v>37</v>
      </c>
      <c r="D257" s="11" t="s">
        <v>930</v>
      </c>
      <c r="E257" s="11">
        <v>1</v>
      </c>
      <c r="F257" s="5" t="s">
        <v>1333</v>
      </c>
      <c r="G257" s="11" t="s">
        <v>23</v>
      </c>
      <c r="H257" s="11" t="s">
        <v>24</v>
      </c>
      <c r="I257" s="11" t="s">
        <v>25</v>
      </c>
      <c r="J257" s="11" t="s">
        <v>26</v>
      </c>
      <c r="K257" s="50">
        <v>44981</v>
      </c>
      <c r="L257" s="50">
        <v>46104</v>
      </c>
      <c r="M257" s="11" t="s">
        <v>1386</v>
      </c>
      <c r="N257" s="11">
        <v>323862</v>
      </c>
      <c r="O257" s="55">
        <f t="shared" si="4"/>
        <v>323862</v>
      </c>
      <c r="P257" s="11" t="s">
        <v>73</v>
      </c>
      <c r="Q257" s="43" t="s">
        <v>1193</v>
      </c>
      <c r="R257" s="5" t="s">
        <v>1194</v>
      </c>
      <c r="S257" s="5" t="s">
        <v>1195</v>
      </c>
      <c r="T257" s="11" t="s">
        <v>32</v>
      </c>
      <c r="U257" s="73" t="s">
        <v>398</v>
      </c>
    </row>
    <row r="258" spans="1:21" s="1" customFormat="1" ht="26.4" x14ac:dyDescent="0.3">
      <c r="A258" s="11" t="s">
        <v>1329</v>
      </c>
      <c r="B258" s="11" t="s">
        <v>399</v>
      </c>
      <c r="C258" s="11" t="s">
        <v>37</v>
      </c>
      <c r="D258" s="11" t="s">
        <v>930</v>
      </c>
      <c r="E258" s="11">
        <v>1</v>
      </c>
      <c r="F258" s="25" t="s">
        <v>907</v>
      </c>
      <c r="G258" s="11" t="s">
        <v>23</v>
      </c>
      <c r="H258" s="11" t="s">
        <v>24</v>
      </c>
      <c r="I258" s="11" t="s">
        <v>25</v>
      </c>
      <c r="J258" s="11" t="s">
        <v>26</v>
      </c>
      <c r="K258" s="50">
        <v>45288</v>
      </c>
      <c r="L258" s="50">
        <v>46086</v>
      </c>
      <c r="M258" s="11" t="s">
        <v>1276</v>
      </c>
      <c r="N258" s="11">
        <v>215555</v>
      </c>
      <c r="O258" s="55">
        <f t="shared" si="4"/>
        <v>215555</v>
      </c>
      <c r="P258" s="11" t="s">
        <v>73</v>
      </c>
      <c r="Q258" s="45" t="s">
        <v>908</v>
      </c>
      <c r="R258" s="5" t="s">
        <v>909</v>
      </c>
      <c r="S258" s="5" t="s">
        <v>1279</v>
      </c>
      <c r="T258" s="11"/>
      <c r="U258" s="73" t="s">
        <v>399</v>
      </c>
    </row>
    <row r="259" spans="1:21" s="1" customFormat="1" ht="26.4" x14ac:dyDescent="0.3">
      <c r="A259" s="11" t="s">
        <v>1277</v>
      </c>
      <c r="B259" s="11" t="s">
        <v>1278</v>
      </c>
      <c r="C259" s="11" t="s">
        <v>37</v>
      </c>
      <c r="D259" s="11" t="s">
        <v>930</v>
      </c>
      <c r="E259" s="11">
        <v>1</v>
      </c>
      <c r="F259" s="25" t="s">
        <v>907</v>
      </c>
      <c r="G259" s="11" t="s">
        <v>23</v>
      </c>
      <c r="H259" s="11" t="s">
        <v>24</v>
      </c>
      <c r="I259" s="11" t="s">
        <v>25</v>
      </c>
      <c r="J259" s="11" t="s">
        <v>26</v>
      </c>
      <c r="K259" s="50">
        <v>45288</v>
      </c>
      <c r="L259" s="50">
        <v>46086</v>
      </c>
      <c r="M259" s="11" t="s">
        <v>1276</v>
      </c>
      <c r="N259" s="11">
        <v>391192</v>
      </c>
      <c r="O259" s="55">
        <f t="shared" si="4"/>
        <v>391192</v>
      </c>
      <c r="P259" s="11" t="s">
        <v>73</v>
      </c>
      <c r="Q259" s="45" t="s">
        <v>908</v>
      </c>
      <c r="R259" s="5" t="s">
        <v>909</v>
      </c>
      <c r="S259" s="5" t="s">
        <v>1279</v>
      </c>
      <c r="T259" s="11"/>
      <c r="U259" s="81" t="s">
        <v>1277</v>
      </c>
    </row>
    <row r="260" spans="1:21" s="1" customFormat="1" ht="26.4" x14ac:dyDescent="0.3">
      <c r="A260" s="11" t="s">
        <v>1280</v>
      </c>
      <c r="B260" s="11" t="s">
        <v>1281</v>
      </c>
      <c r="C260" s="11" t="s">
        <v>37</v>
      </c>
      <c r="D260" s="11" t="s">
        <v>930</v>
      </c>
      <c r="E260" s="11">
        <v>7</v>
      </c>
      <c r="F260" s="25" t="s">
        <v>907</v>
      </c>
      <c r="G260" s="11" t="s">
        <v>23</v>
      </c>
      <c r="H260" s="11" t="s">
        <v>24</v>
      </c>
      <c r="I260" s="11" t="s">
        <v>25</v>
      </c>
      <c r="J260" s="11" t="s">
        <v>26</v>
      </c>
      <c r="K260" s="50">
        <v>45288</v>
      </c>
      <c r="L260" s="50">
        <v>46086</v>
      </c>
      <c r="M260" s="11" t="s">
        <v>1276</v>
      </c>
      <c r="N260" s="11">
        <v>7984</v>
      </c>
      <c r="O260" s="55">
        <f t="shared" si="4"/>
        <v>55888</v>
      </c>
      <c r="P260" s="11" t="s">
        <v>50</v>
      </c>
      <c r="Q260" s="45" t="s">
        <v>908</v>
      </c>
      <c r="R260" s="5" t="s">
        <v>909</v>
      </c>
      <c r="S260" s="5" t="s">
        <v>1279</v>
      </c>
      <c r="T260" s="11"/>
      <c r="U260" s="73"/>
    </row>
    <row r="261" spans="1:21" s="1" customFormat="1" ht="26.4" x14ac:dyDescent="0.3">
      <c r="A261" s="11" t="s">
        <v>1280</v>
      </c>
      <c r="B261" s="11" t="s">
        <v>1282</v>
      </c>
      <c r="C261" s="11" t="s">
        <v>37</v>
      </c>
      <c r="D261" s="11" t="s">
        <v>930</v>
      </c>
      <c r="E261" s="11">
        <v>5</v>
      </c>
      <c r="F261" s="25" t="s">
        <v>907</v>
      </c>
      <c r="G261" s="11" t="s">
        <v>23</v>
      </c>
      <c r="H261" s="11" t="s">
        <v>24</v>
      </c>
      <c r="I261" s="11" t="s">
        <v>25</v>
      </c>
      <c r="J261" s="11" t="s">
        <v>26</v>
      </c>
      <c r="K261" s="50">
        <v>45288</v>
      </c>
      <c r="L261" s="50">
        <v>46086</v>
      </c>
      <c r="M261" s="11" t="s">
        <v>1276</v>
      </c>
      <c r="N261" s="11">
        <v>4106</v>
      </c>
      <c r="O261" s="55">
        <f t="shared" si="4"/>
        <v>20530</v>
      </c>
      <c r="P261" s="11" t="s">
        <v>50</v>
      </c>
      <c r="Q261" s="45" t="s">
        <v>908</v>
      </c>
      <c r="R261" s="5" t="s">
        <v>909</v>
      </c>
      <c r="S261" s="5" t="s">
        <v>1279</v>
      </c>
      <c r="T261" s="11"/>
      <c r="U261" s="73"/>
    </row>
    <row r="262" spans="1:21" s="1" customFormat="1" ht="26.4" x14ac:dyDescent="0.3">
      <c r="A262" s="11" t="s">
        <v>1280</v>
      </c>
      <c r="B262" s="11" t="s">
        <v>1283</v>
      </c>
      <c r="C262" s="11" t="s">
        <v>37</v>
      </c>
      <c r="D262" s="11" t="s">
        <v>930</v>
      </c>
      <c r="E262" s="11">
        <v>3</v>
      </c>
      <c r="F262" s="25" t="s">
        <v>907</v>
      </c>
      <c r="G262" s="11" t="s">
        <v>23</v>
      </c>
      <c r="H262" s="11" t="s">
        <v>24</v>
      </c>
      <c r="I262" s="11" t="s">
        <v>25</v>
      </c>
      <c r="J262" s="11" t="s">
        <v>26</v>
      </c>
      <c r="K262" s="50">
        <v>45288</v>
      </c>
      <c r="L262" s="50">
        <v>46086</v>
      </c>
      <c r="M262" s="11" t="s">
        <v>1276</v>
      </c>
      <c r="N262" s="11">
        <v>1369</v>
      </c>
      <c r="O262" s="55">
        <f t="shared" si="4"/>
        <v>4107</v>
      </c>
      <c r="P262" s="11" t="s">
        <v>50</v>
      </c>
      <c r="Q262" s="45" t="s">
        <v>908</v>
      </c>
      <c r="R262" s="5" t="s">
        <v>909</v>
      </c>
      <c r="S262" s="5" t="s">
        <v>1279</v>
      </c>
      <c r="T262" s="11"/>
      <c r="U262" s="73"/>
    </row>
    <row r="263" spans="1:21" s="1" customFormat="1" ht="26.4" x14ac:dyDescent="0.3">
      <c r="A263" s="11" t="s">
        <v>1288</v>
      </c>
      <c r="B263" s="11" t="s">
        <v>1289</v>
      </c>
      <c r="C263" s="11" t="s">
        <v>37</v>
      </c>
      <c r="D263" s="11" t="s">
        <v>930</v>
      </c>
      <c r="E263" s="11">
        <v>1</v>
      </c>
      <c r="F263" s="25" t="s">
        <v>907</v>
      </c>
      <c r="G263" s="11" t="s">
        <v>23</v>
      </c>
      <c r="H263" s="11" t="s">
        <v>24</v>
      </c>
      <c r="I263" s="11" t="s">
        <v>25</v>
      </c>
      <c r="J263" s="11" t="s">
        <v>26</v>
      </c>
      <c r="K263" s="50">
        <v>45288</v>
      </c>
      <c r="L263" s="50">
        <v>46086</v>
      </c>
      <c r="M263" s="11" t="s">
        <v>1276</v>
      </c>
      <c r="N263" s="11">
        <v>90784</v>
      </c>
      <c r="O263" s="55">
        <f t="shared" si="4"/>
        <v>90784</v>
      </c>
      <c r="P263" s="11" t="s">
        <v>50</v>
      </c>
      <c r="Q263" s="45" t="s">
        <v>908</v>
      </c>
      <c r="R263" s="5" t="s">
        <v>909</v>
      </c>
      <c r="S263" s="5" t="s">
        <v>1279</v>
      </c>
      <c r="T263" s="11"/>
      <c r="U263" s="73"/>
    </row>
    <row r="264" spans="1:21" s="1" customFormat="1" ht="14.4" x14ac:dyDescent="0.3">
      <c r="A264" s="11" t="s">
        <v>400</v>
      </c>
      <c r="B264" s="11" t="s">
        <v>400</v>
      </c>
      <c r="C264" s="11" t="s">
        <v>37</v>
      </c>
      <c r="D264" s="11" t="s">
        <v>930</v>
      </c>
      <c r="E264" s="12">
        <v>1</v>
      </c>
      <c r="F264" s="11" t="s">
        <v>37</v>
      </c>
      <c r="G264" s="11" t="s">
        <v>23</v>
      </c>
      <c r="H264" s="11" t="s">
        <v>24</v>
      </c>
      <c r="I264" s="11" t="s">
        <v>25</v>
      </c>
      <c r="J264" s="11" t="s">
        <v>26</v>
      </c>
      <c r="K264" s="11" t="s">
        <v>37</v>
      </c>
      <c r="L264" s="50">
        <v>46106</v>
      </c>
      <c r="M264" s="11" t="s">
        <v>37</v>
      </c>
      <c r="N264" s="11">
        <v>0</v>
      </c>
      <c r="O264" s="55">
        <f t="shared" si="4"/>
        <v>0</v>
      </c>
      <c r="P264" s="11"/>
      <c r="Q264" s="11" t="s">
        <v>37</v>
      </c>
      <c r="R264" s="11" t="s">
        <v>37</v>
      </c>
      <c r="S264" s="11" t="s">
        <v>37</v>
      </c>
      <c r="T264" s="11" t="s">
        <v>37</v>
      </c>
      <c r="U264" s="11" t="s">
        <v>37</v>
      </c>
    </row>
    <row r="265" spans="1:21" s="1" customFormat="1" ht="26.4" x14ac:dyDescent="0.3">
      <c r="A265" s="11" t="s">
        <v>1285</v>
      </c>
      <c r="B265" s="11" t="s">
        <v>1286</v>
      </c>
      <c r="C265" s="11" t="s">
        <v>37</v>
      </c>
      <c r="D265" s="11" t="s">
        <v>930</v>
      </c>
      <c r="E265" s="11">
        <v>20</v>
      </c>
      <c r="F265" s="25" t="s">
        <v>907</v>
      </c>
      <c r="G265" s="11" t="s">
        <v>23</v>
      </c>
      <c r="H265" s="11" t="s">
        <v>24</v>
      </c>
      <c r="I265" s="11" t="s">
        <v>25</v>
      </c>
      <c r="J265" s="11" t="s">
        <v>26</v>
      </c>
      <c r="K265" s="50">
        <v>45288</v>
      </c>
      <c r="L265" s="50">
        <v>46086</v>
      </c>
      <c r="M265" s="11" t="s">
        <v>1276</v>
      </c>
      <c r="N265" s="11">
        <v>12774</v>
      </c>
      <c r="O265" s="55">
        <f t="shared" si="4"/>
        <v>255480</v>
      </c>
      <c r="P265" s="11" t="s">
        <v>50</v>
      </c>
      <c r="Q265" s="45" t="s">
        <v>908</v>
      </c>
      <c r="R265" s="5" t="s">
        <v>909</v>
      </c>
      <c r="S265" s="5" t="s">
        <v>1279</v>
      </c>
      <c r="T265" s="11"/>
      <c r="U265" s="11"/>
    </row>
    <row r="266" spans="1:21" s="1" customFormat="1" ht="39.6" x14ac:dyDescent="0.3">
      <c r="A266" s="11" t="s">
        <v>1330</v>
      </c>
      <c r="B266" s="11" t="s">
        <v>1308</v>
      </c>
      <c r="C266" s="11" t="s">
        <v>402</v>
      </c>
      <c r="D266" s="11" t="s">
        <v>930</v>
      </c>
      <c r="E266" s="11">
        <v>1</v>
      </c>
      <c r="F266" s="25" t="s">
        <v>907</v>
      </c>
      <c r="G266" s="11" t="s">
        <v>23</v>
      </c>
      <c r="H266" s="11" t="s">
        <v>24</v>
      </c>
      <c r="I266" s="11" t="s">
        <v>25</v>
      </c>
      <c r="J266" s="11" t="s">
        <v>26</v>
      </c>
      <c r="K266" s="50">
        <v>45288</v>
      </c>
      <c r="L266" s="50">
        <v>46086</v>
      </c>
      <c r="M266" s="11" t="s">
        <v>1276</v>
      </c>
      <c r="N266" s="11">
        <v>228670</v>
      </c>
      <c r="O266" s="55">
        <f t="shared" si="4"/>
        <v>228670</v>
      </c>
      <c r="P266" s="11" t="s">
        <v>73</v>
      </c>
      <c r="Q266" s="45" t="s">
        <v>908</v>
      </c>
      <c r="R266" s="5" t="s">
        <v>909</v>
      </c>
      <c r="S266" s="5" t="s">
        <v>1279</v>
      </c>
      <c r="T266" s="11"/>
      <c r="U266" s="73" t="s">
        <v>401</v>
      </c>
    </row>
    <row r="267" spans="1:21" s="1" customFormat="1" ht="39.6" x14ac:dyDescent="0.3">
      <c r="A267" s="11" t="s">
        <v>1330</v>
      </c>
      <c r="B267" s="11" t="s">
        <v>1284</v>
      </c>
      <c r="C267" s="11" t="s">
        <v>402</v>
      </c>
      <c r="D267" s="11" t="s">
        <v>930</v>
      </c>
      <c r="E267" s="11">
        <v>1</v>
      </c>
      <c r="F267" s="25" t="s">
        <v>907</v>
      </c>
      <c r="G267" s="11" t="s">
        <v>23</v>
      </c>
      <c r="H267" s="11" t="s">
        <v>24</v>
      </c>
      <c r="I267" s="11" t="s">
        <v>25</v>
      </c>
      <c r="J267" s="11" t="s">
        <v>26</v>
      </c>
      <c r="K267" s="50">
        <v>45288</v>
      </c>
      <c r="L267" s="50">
        <v>46086</v>
      </c>
      <c r="M267" s="11" t="s">
        <v>1276</v>
      </c>
      <c r="N267" s="11">
        <v>228670</v>
      </c>
      <c r="O267" s="55">
        <f t="shared" si="4"/>
        <v>228670</v>
      </c>
      <c r="P267" s="11" t="s">
        <v>50</v>
      </c>
      <c r="Q267" s="45" t="s">
        <v>908</v>
      </c>
      <c r="R267" s="5" t="s">
        <v>909</v>
      </c>
      <c r="S267" s="5" t="s">
        <v>1279</v>
      </c>
      <c r="T267" s="11"/>
      <c r="U267" s="73" t="s">
        <v>401</v>
      </c>
    </row>
    <row r="268" spans="1:21" s="1" customFormat="1" ht="26.4" x14ac:dyDescent="0.3">
      <c r="A268" s="11" t="s">
        <v>403</v>
      </c>
      <c r="B268" s="11" t="s">
        <v>1309</v>
      </c>
      <c r="C268" s="11" t="s">
        <v>404</v>
      </c>
      <c r="D268" s="11" t="s">
        <v>930</v>
      </c>
      <c r="E268" s="11">
        <v>1</v>
      </c>
      <c r="F268" s="25" t="s">
        <v>907</v>
      </c>
      <c r="G268" s="11" t="s">
        <v>23</v>
      </c>
      <c r="H268" s="11" t="s">
        <v>24</v>
      </c>
      <c r="I268" s="11" t="s">
        <v>25</v>
      </c>
      <c r="J268" s="11" t="s">
        <v>26</v>
      </c>
      <c r="K268" s="50">
        <v>45288</v>
      </c>
      <c r="L268" s="50">
        <v>46086</v>
      </c>
      <c r="M268" s="11" t="s">
        <v>1276</v>
      </c>
      <c r="N268" s="11">
        <v>232662</v>
      </c>
      <c r="O268" s="55">
        <f t="shared" si="4"/>
        <v>232662</v>
      </c>
      <c r="P268" s="11" t="s">
        <v>73</v>
      </c>
      <c r="Q268" s="45" t="s">
        <v>908</v>
      </c>
      <c r="R268" s="5" t="s">
        <v>909</v>
      </c>
      <c r="S268" s="5" t="s">
        <v>1279</v>
      </c>
      <c r="T268" s="11"/>
      <c r="U268" s="73" t="s">
        <v>403</v>
      </c>
    </row>
    <row r="269" spans="1:21" s="1" customFormat="1" ht="26.4" x14ac:dyDescent="0.3">
      <c r="A269" s="11" t="s">
        <v>403</v>
      </c>
      <c r="B269" s="11" t="s">
        <v>1310</v>
      </c>
      <c r="C269" s="11" t="s">
        <v>404</v>
      </c>
      <c r="D269" s="11" t="s">
        <v>930</v>
      </c>
      <c r="E269" s="11">
        <v>1</v>
      </c>
      <c r="F269" s="25" t="s">
        <v>907</v>
      </c>
      <c r="G269" s="11" t="s">
        <v>23</v>
      </c>
      <c r="H269" s="11" t="s">
        <v>24</v>
      </c>
      <c r="I269" s="11" t="s">
        <v>25</v>
      </c>
      <c r="J269" s="11" t="s">
        <v>26</v>
      </c>
      <c r="K269" s="50">
        <v>45288</v>
      </c>
      <c r="L269" s="50">
        <v>46086</v>
      </c>
      <c r="M269" s="11" t="s">
        <v>1276</v>
      </c>
      <c r="N269" s="11">
        <v>232662</v>
      </c>
      <c r="O269" s="55">
        <f t="shared" si="4"/>
        <v>232662</v>
      </c>
      <c r="P269" s="11" t="s">
        <v>73</v>
      </c>
      <c r="Q269" s="45" t="s">
        <v>908</v>
      </c>
      <c r="R269" s="5" t="s">
        <v>909</v>
      </c>
      <c r="S269" s="5" t="s">
        <v>1279</v>
      </c>
      <c r="T269" s="11"/>
      <c r="U269" s="73" t="s">
        <v>403</v>
      </c>
    </row>
    <row r="270" spans="1:21" s="4" customFormat="1" ht="66" x14ac:dyDescent="0.25">
      <c r="A270" s="11" t="s">
        <v>1181</v>
      </c>
      <c r="B270" s="11" t="s">
        <v>1188</v>
      </c>
      <c r="C270" s="11" t="s">
        <v>406</v>
      </c>
      <c r="D270" s="11" t="s">
        <v>933</v>
      </c>
      <c r="E270" s="11">
        <v>3</v>
      </c>
      <c r="F270" s="5" t="s">
        <v>407</v>
      </c>
      <c r="G270" s="5" t="s">
        <v>23</v>
      </c>
      <c r="H270" s="5" t="s">
        <v>408</v>
      </c>
      <c r="I270" s="5" t="s">
        <v>25</v>
      </c>
      <c r="J270" s="5" t="s">
        <v>26</v>
      </c>
      <c r="K270" s="59">
        <v>42939</v>
      </c>
      <c r="L270" s="52">
        <v>46068</v>
      </c>
      <c r="M270" s="5">
        <v>2475</v>
      </c>
      <c r="N270" s="5">
        <v>47900</v>
      </c>
      <c r="O270" s="55">
        <f t="shared" si="4"/>
        <v>143700</v>
      </c>
      <c r="P270" s="5" t="s">
        <v>50</v>
      </c>
      <c r="Q270" s="43" t="s">
        <v>409</v>
      </c>
      <c r="R270" s="5">
        <v>9930806006</v>
      </c>
      <c r="S270" s="5" t="s">
        <v>410</v>
      </c>
      <c r="T270" s="5" t="s">
        <v>397</v>
      </c>
      <c r="U270" s="82" t="s">
        <v>1182</v>
      </c>
    </row>
    <row r="271" spans="1:21" s="4" customFormat="1" ht="26.4" x14ac:dyDescent="0.25">
      <c r="A271" s="5" t="s">
        <v>1174</v>
      </c>
      <c r="B271" s="5" t="s">
        <v>411</v>
      </c>
      <c r="C271" s="5" t="s">
        <v>406</v>
      </c>
      <c r="D271" s="5" t="s">
        <v>417</v>
      </c>
      <c r="E271" s="5">
        <v>2</v>
      </c>
      <c r="F271" s="5" t="s">
        <v>407</v>
      </c>
      <c r="G271" s="5" t="s">
        <v>23</v>
      </c>
      <c r="H271" s="5" t="s">
        <v>408</v>
      </c>
      <c r="I271" s="5" t="s">
        <v>25</v>
      </c>
      <c r="J271" s="5" t="s">
        <v>26</v>
      </c>
      <c r="K271" s="59">
        <v>42939</v>
      </c>
      <c r="L271" s="52">
        <v>46068</v>
      </c>
      <c r="M271" s="5">
        <v>2475</v>
      </c>
      <c r="N271" s="5">
        <v>47900</v>
      </c>
      <c r="O271" s="55">
        <f t="shared" si="4"/>
        <v>95800</v>
      </c>
      <c r="P271" s="5" t="s">
        <v>50</v>
      </c>
      <c r="Q271" s="43" t="s">
        <v>409</v>
      </c>
      <c r="R271" s="5">
        <v>9930806006</v>
      </c>
      <c r="S271" s="5" t="s">
        <v>410</v>
      </c>
      <c r="T271" s="5" t="s">
        <v>397</v>
      </c>
      <c r="U271" s="45" t="s">
        <v>411</v>
      </c>
    </row>
    <row r="272" spans="1:21" s="4" customFormat="1" ht="26.4" x14ac:dyDescent="0.25">
      <c r="A272" s="5" t="s">
        <v>1175</v>
      </c>
      <c r="B272" s="5" t="s">
        <v>411</v>
      </c>
      <c r="C272" s="5" t="s">
        <v>406</v>
      </c>
      <c r="D272" s="5" t="s">
        <v>417</v>
      </c>
      <c r="E272" s="5">
        <v>1</v>
      </c>
      <c r="F272" s="5" t="s">
        <v>407</v>
      </c>
      <c r="G272" s="5" t="s">
        <v>23</v>
      </c>
      <c r="H272" s="5" t="s">
        <v>408</v>
      </c>
      <c r="I272" s="5" t="s">
        <v>25</v>
      </c>
      <c r="J272" s="5" t="s">
        <v>26</v>
      </c>
      <c r="K272" s="59">
        <v>42939</v>
      </c>
      <c r="L272" s="52">
        <v>46068</v>
      </c>
      <c r="M272" s="5">
        <v>2475</v>
      </c>
      <c r="N272" s="5">
        <v>47900</v>
      </c>
      <c r="O272" s="55">
        <f t="shared" si="4"/>
        <v>47900</v>
      </c>
      <c r="P272" s="5" t="s">
        <v>50</v>
      </c>
      <c r="Q272" s="43" t="s">
        <v>409</v>
      </c>
      <c r="R272" s="5">
        <v>9930806006</v>
      </c>
      <c r="S272" s="5" t="s">
        <v>410</v>
      </c>
      <c r="T272" s="5" t="s">
        <v>397</v>
      </c>
      <c r="U272" s="45" t="s">
        <v>411</v>
      </c>
    </row>
    <row r="273" spans="1:21" s="4" customFormat="1" ht="26.4" x14ac:dyDescent="0.25">
      <c r="A273" s="5" t="s">
        <v>405</v>
      </c>
      <c r="B273" s="5" t="s">
        <v>959</v>
      </c>
      <c r="C273" s="5" t="s">
        <v>406</v>
      </c>
      <c r="D273" s="5" t="s">
        <v>417</v>
      </c>
      <c r="E273" s="5">
        <v>1</v>
      </c>
      <c r="F273" s="5" t="s">
        <v>407</v>
      </c>
      <c r="G273" s="5" t="s">
        <v>23</v>
      </c>
      <c r="H273" s="5" t="s">
        <v>408</v>
      </c>
      <c r="I273" s="5" t="s">
        <v>25</v>
      </c>
      <c r="J273" s="5" t="s">
        <v>26</v>
      </c>
      <c r="K273" s="59">
        <v>42939</v>
      </c>
      <c r="L273" s="52">
        <v>46068</v>
      </c>
      <c r="M273" s="5">
        <v>2475</v>
      </c>
      <c r="N273" s="5">
        <v>47900</v>
      </c>
      <c r="O273" s="55">
        <f t="shared" si="4"/>
        <v>47900</v>
      </c>
      <c r="P273" s="5" t="s">
        <v>73</v>
      </c>
      <c r="Q273" s="43" t="s">
        <v>409</v>
      </c>
      <c r="R273" s="5">
        <v>9930806006</v>
      </c>
      <c r="S273" s="5" t="s">
        <v>410</v>
      </c>
      <c r="T273" s="5" t="s">
        <v>397</v>
      </c>
      <c r="U273" s="45" t="s">
        <v>962</v>
      </c>
    </row>
    <row r="274" spans="1:21" s="4" customFormat="1" ht="26.4" x14ac:dyDescent="0.25">
      <c r="A274" s="5" t="s">
        <v>405</v>
      </c>
      <c r="B274" s="5" t="s">
        <v>960</v>
      </c>
      <c r="C274" s="5" t="s">
        <v>406</v>
      </c>
      <c r="D274" s="5" t="s">
        <v>417</v>
      </c>
      <c r="E274" s="5">
        <v>1</v>
      </c>
      <c r="F274" s="5" t="s">
        <v>407</v>
      </c>
      <c r="G274" s="5" t="s">
        <v>23</v>
      </c>
      <c r="H274" s="5" t="s">
        <v>408</v>
      </c>
      <c r="I274" s="5" t="s">
        <v>25</v>
      </c>
      <c r="J274" s="5" t="s">
        <v>26</v>
      </c>
      <c r="K274" s="59">
        <v>42939</v>
      </c>
      <c r="L274" s="52">
        <v>46068</v>
      </c>
      <c r="M274" s="5">
        <v>2475</v>
      </c>
      <c r="N274" s="5">
        <v>47900</v>
      </c>
      <c r="O274" s="55">
        <f t="shared" si="4"/>
        <v>47900</v>
      </c>
      <c r="P274" s="5" t="s">
        <v>73</v>
      </c>
      <c r="Q274" s="43" t="s">
        <v>409</v>
      </c>
      <c r="R274" s="5">
        <v>9930806006</v>
      </c>
      <c r="S274" s="5" t="s">
        <v>410</v>
      </c>
      <c r="T274" s="5" t="s">
        <v>397</v>
      </c>
      <c r="U274" s="45" t="s">
        <v>963</v>
      </c>
    </row>
    <row r="275" spans="1:21" s="4" customFormat="1" ht="26.4" x14ac:dyDescent="0.25">
      <c r="A275" s="5" t="s">
        <v>405</v>
      </c>
      <c r="B275" s="5" t="s">
        <v>961</v>
      </c>
      <c r="C275" s="5" t="s">
        <v>406</v>
      </c>
      <c r="D275" s="5" t="s">
        <v>417</v>
      </c>
      <c r="E275" s="5">
        <v>1</v>
      </c>
      <c r="F275" s="5" t="s">
        <v>407</v>
      </c>
      <c r="G275" s="5" t="s">
        <v>23</v>
      </c>
      <c r="H275" s="5" t="s">
        <v>408</v>
      </c>
      <c r="I275" s="5" t="s">
        <v>25</v>
      </c>
      <c r="J275" s="5" t="s">
        <v>26</v>
      </c>
      <c r="K275" s="59">
        <v>42939</v>
      </c>
      <c r="L275" s="52">
        <v>46068</v>
      </c>
      <c r="M275" s="5">
        <v>2475</v>
      </c>
      <c r="N275" s="5">
        <v>47900</v>
      </c>
      <c r="O275" s="55">
        <f t="shared" si="4"/>
        <v>47900</v>
      </c>
      <c r="P275" s="5" t="s">
        <v>73</v>
      </c>
      <c r="Q275" s="43" t="s">
        <v>409</v>
      </c>
      <c r="R275" s="5">
        <v>9930806006</v>
      </c>
      <c r="S275" s="5" t="s">
        <v>410</v>
      </c>
      <c r="T275" s="5" t="s">
        <v>397</v>
      </c>
      <c r="U275" s="45" t="s">
        <v>964</v>
      </c>
    </row>
    <row r="276" spans="1:21" s="1" customFormat="1" ht="14.4" x14ac:dyDescent="0.3">
      <c r="A276" s="11" t="s">
        <v>412</v>
      </c>
      <c r="B276" s="11" t="s">
        <v>1370</v>
      </c>
      <c r="C276" s="11" t="s">
        <v>413</v>
      </c>
      <c r="D276" s="5" t="s">
        <v>417</v>
      </c>
      <c r="E276" s="11">
        <v>1</v>
      </c>
      <c r="F276" s="11" t="s">
        <v>37</v>
      </c>
      <c r="G276" s="11" t="s">
        <v>23</v>
      </c>
      <c r="H276" s="5" t="s">
        <v>580</v>
      </c>
      <c r="I276" s="11" t="s">
        <v>25</v>
      </c>
      <c r="J276" s="11" t="s">
        <v>26</v>
      </c>
      <c r="K276" s="11" t="s">
        <v>37</v>
      </c>
      <c r="L276" s="50">
        <v>46104</v>
      </c>
      <c r="M276" s="11" t="s">
        <v>37</v>
      </c>
      <c r="N276" s="11">
        <v>0</v>
      </c>
      <c r="O276" s="55">
        <f t="shared" si="4"/>
        <v>0</v>
      </c>
      <c r="P276" s="11" t="s">
        <v>37</v>
      </c>
      <c r="Q276" s="11" t="s">
        <v>37</v>
      </c>
      <c r="R276" s="11" t="s">
        <v>37</v>
      </c>
      <c r="S276" s="11" t="s">
        <v>37</v>
      </c>
      <c r="T276" s="11" t="s">
        <v>37</v>
      </c>
      <c r="U276" s="73" t="s">
        <v>412</v>
      </c>
    </row>
    <row r="277" spans="1:21" s="1" customFormat="1" ht="26.4" x14ac:dyDescent="0.3">
      <c r="A277" s="11" t="s">
        <v>414</v>
      </c>
      <c r="B277" s="11" t="s">
        <v>415</v>
      </c>
      <c r="C277" s="11" t="s">
        <v>416</v>
      </c>
      <c r="D277" s="5" t="s">
        <v>417</v>
      </c>
      <c r="E277" s="11">
        <v>1</v>
      </c>
      <c r="F277" s="5" t="s">
        <v>407</v>
      </c>
      <c r="G277" s="11" t="s">
        <v>23</v>
      </c>
      <c r="H277" s="11" t="s">
        <v>408</v>
      </c>
      <c r="I277" s="11" t="s">
        <v>25</v>
      </c>
      <c r="J277" s="11" t="s">
        <v>26</v>
      </c>
      <c r="K277" s="59">
        <v>43544</v>
      </c>
      <c r="L277" s="50">
        <v>46045</v>
      </c>
      <c r="M277" s="5" t="s">
        <v>418</v>
      </c>
      <c r="N277" s="32">
        <v>53908</v>
      </c>
      <c r="O277" s="55">
        <f t="shared" si="4"/>
        <v>53908</v>
      </c>
      <c r="P277" s="11" t="s">
        <v>73</v>
      </c>
      <c r="Q277" s="43" t="s">
        <v>409</v>
      </c>
      <c r="R277" s="5">
        <v>9930806006</v>
      </c>
      <c r="S277" s="5" t="s">
        <v>410</v>
      </c>
      <c r="T277" s="11" t="s">
        <v>1144</v>
      </c>
      <c r="U277" s="73" t="s">
        <v>414</v>
      </c>
    </row>
    <row r="278" spans="1:21" s="1" customFormat="1" ht="26.4" x14ac:dyDescent="0.3">
      <c r="A278" s="11" t="s">
        <v>419</v>
      </c>
      <c r="B278" s="11" t="s">
        <v>420</v>
      </c>
      <c r="C278" s="11" t="s">
        <v>416</v>
      </c>
      <c r="D278" s="5" t="s">
        <v>417</v>
      </c>
      <c r="E278" s="11">
        <v>8</v>
      </c>
      <c r="F278" s="5" t="s">
        <v>407</v>
      </c>
      <c r="G278" s="11" t="s">
        <v>23</v>
      </c>
      <c r="H278" s="11" t="s">
        <v>408</v>
      </c>
      <c r="I278" s="11" t="s">
        <v>25</v>
      </c>
      <c r="J278" s="11" t="s">
        <v>26</v>
      </c>
      <c r="K278" s="59">
        <v>43544</v>
      </c>
      <c r="L278" s="50">
        <v>46045</v>
      </c>
      <c r="M278" s="5" t="s">
        <v>418</v>
      </c>
      <c r="N278" s="32">
        <v>8931</v>
      </c>
      <c r="O278" s="55">
        <f t="shared" si="4"/>
        <v>71448</v>
      </c>
      <c r="P278" s="11" t="s">
        <v>73</v>
      </c>
      <c r="Q278" s="43" t="s">
        <v>409</v>
      </c>
      <c r="R278" s="5">
        <v>9930806006</v>
      </c>
      <c r="S278" s="5" t="s">
        <v>410</v>
      </c>
      <c r="T278" s="11" t="s">
        <v>1144</v>
      </c>
      <c r="U278" s="73" t="s">
        <v>420</v>
      </c>
    </row>
    <row r="279" spans="1:21" s="1" customFormat="1" ht="14.4" x14ac:dyDescent="0.3">
      <c r="A279" s="11" t="s">
        <v>412</v>
      </c>
      <c r="B279" s="11" t="s">
        <v>421</v>
      </c>
      <c r="C279" s="11" t="s">
        <v>413</v>
      </c>
      <c r="D279" s="5" t="s">
        <v>417</v>
      </c>
      <c r="E279" s="11">
        <v>1</v>
      </c>
      <c r="F279" s="11" t="s">
        <v>37</v>
      </c>
      <c r="G279" s="11" t="s">
        <v>23</v>
      </c>
      <c r="H279" s="5" t="s">
        <v>580</v>
      </c>
      <c r="I279" s="11" t="s">
        <v>25</v>
      </c>
      <c r="J279" s="11" t="s">
        <v>26</v>
      </c>
      <c r="K279" s="11" t="s">
        <v>37</v>
      </c>
      <c r="L279" s="50">
        <v>46104</v>
      </c>
      <c r="M279" s="11" t="s">
        <v>37</v>
      </c>
      <c r="N279" s="11">
        <v>0</v>
      </c>
      <c r="O279" s="55">
        <f t="shared" si="4"/>
        <v>0</v>
      </c>
      <c r="P279" s="11" t="s">
        <v>37</v>
      </c>
      <c r="Q279" s="11" t="s">
        <v>37</v>
      </c>
      <c r="R279" s="11" t="s">
        <v>37</v>
      </c>
      <c r="S279" s="11" t="s">
        <v>37</v>
      </c>
      <c r="T279" s="11" t="s">
        <v>37</v>
      </c>
      <c r="U279" s="11" t="s">
        <v>422</v>
      </c>
    </row>
    <row r="280" spans="1:21" s="1" customFormat="1" ht="26.4" x14ac:dyDescent="0.3">
      <c r="A280" s="11" t="s">
        <v>423</v>
      </c>
      <c r="B280" s="11" t="s">
        <v>422</v>
      </c>
      <c r="C280" s="11" t="s">
        <v>424</v>
      </c>
      <c r="D280" s="5" t="s">
        <v>417</v>
      </c>
      <c r="E280" s="11">
        <v>1</v>
      </c>
      <c r="F280" s="5" t="s">
        <v>425</v>
      </c>
      <c r="G280" s="11" t="s">
        <v>23</v>
      </c>
      <c r="H280" s="11" t="s">
        <v>426</v>
      </c>
      <c r="I280" s="11" t="s">
        <v>25</v>
      </c>
      <c r="J280" s="11" t="s">
        <v>26</v>
      </c>
      <c r="K280" s="52">
        <v>45194</v>
      </c>
      <c r="L280" s="50">
        <v>46032</v>
      </c>
      <c r="M280" s="5" t="s">
        <v>427</v>
      </c>
      <c r="N280" s="11">
        <v>55440</v>
      </c>
      <c r="O280" s="55">
        <f t="shared" si="4"/>
        <v>55440</v>
      </c>
      <c r="P280" s="11" t="s">
        <v>73</v>
      </c>
      <c r="Q280" s="43" t="s">
        <v>428</v>
      </c>
      <c r="R280" s="5" t="s">
        <v>429</v>
      </c>
      <c r="S280" s="5" t="s">
        <v>430</v>
      </c>
      <c r="T280" s="75" t="s">
        <v>58</v>
      </c>
      <c r="U280" s="73" t="s">
        <v>422</v>
      </c>
    </row>
    <row r="281" spans="1:21" s="1" customFormat="1" ht="14.4" x14ac:dyDescent="0.3">
      <c r="A281" s="11" t="s">
        <v>431</v>
      </c>
      <c r="B281" s="5" t="s">
        <v>432</v>
      </c>
      <c r="C281" s="11" t="s">
        <v>433</v>
      </c>
      <c r="D281" s="5" t="s">
        <v>417</v>
      </c>
      <c r="E281" s="11">
        <v>5</v>
      </c>
      <c r="F281" s="5" t="s">
        <v>1257</v>
      </c>
      <c r="G281" s="11" t="s">
        <v>23</v>
      </c>
      <c r="H281" s="5" t="s">
        <v>311</v>
      </c>
      <c r="I281" s="11" t="s">
        <v>25</v>
      </c>
      <c r="J281" s="11" t="s">
        <v>26</v>
      </c>
      <c r="K281" s="50">
        <v>45121</v>
      </c>
      <c r="L281" s="50">
        <v>46085</v>
      </c>
      <c r="M281" s="11" t="s">
        <v>1258</v>
      </c>
      <c r="N281" s="11">
        <v>4001</v>
      </c>
      <c r="O281" s="55">
        <f t="shared" si="4"/>
        <v>20005</v>
      </c>
      <c r="P281" s="11" t="s">
        <v>73</v>
      </c>
      <c r="Q281" s="43" t="s">
        <v>1259</v>
      </c>
      <c r="R281" s="5">
        <v>9820023829</v>
      </c>
      <c r="S281" s="5" t="s">
        <v>1260</v>
      </c>
      <c r="T281" s="11" t="s">
        <v>41</v>
      </c>
      <c r="U281" s="43" t="s">
        <v>432</v>
      </c>
    </row>
    <row r="282" spans="1:21" s="1" customFormat="1" ht="14.4" x14ac:dyDescent="0.3">
      <c r="A282" s="11" t="s">
        <v>434</v>
      </c>
      <c r="B282" s="11" t="s">
        <v>435</v>
      </c>
      <c r="C282" s="11" t="s">
        <v>436</v>
      </c>
      <c r="D282" s="5" t="s">
        <v>417</v>
      </c>
      <c r="E282" s="12">
        <v>1</v>
      </c>
      <c r="F282" s="11" t="s">
        <v>37</v>
      </c>
      <c r="G282" s="11" t="s">
        <v>23</v>
      </c>
      <c r="H282" s="5" t="s">
        <v>580</v>
      </c>
      <c r="I282" s="11" t="s">
        <v>25</v>
      </c>
      <c r="J282" s="11" t="s">
        <v>26</v>
      </c>
      <c r="K282" s="11" t="s">
        <v>37</v>
      </c>
      <c r="L282" s="50">
        <v>46106</v>
      </c>
      <c r="M282" s="11" t="s">
        <v>37</v>
      </c>
      <c r="N282" s="11">
        <v>0</v>
      </c>
      <c r="O282" s="55">
        <f t="shared" si="4"/>
        <v>0</v>
      </c>
      <c r="P282" s="11"/>
      <c r="Q282" s="11" t="s">
        <v>37</v>
      </c>
      <c r="R282" s="11" t="s">
        <v>37</v>
      </c>
      <c r="S282" s="11" t="s">
        <v>37</v>
      </c>
      <c r="T282" s="11" t="s">
        <v>37</v>
      </c>
      <c r="U282" s="73" t="s">
        <v>435</v>
      </c>
    </row>
    <row r="283" spans="1:21" s="1" customFormat="1" ht="14.4" x14ac:dyDescent="0.3">
      <c r="A283" s="11" t="s">
        <v>437</v>
      </c>
      <c r="B283" s="11" t="s">
        <v>438</v>
      </c>
      <c r="C283" s="11" t="s">
        <v>439</v>
      </c>
      <c r="D283" s="5" t="s">
        <v>417</v>
      </c>
      <c r="E283" s="11">
        <v>1</v>
      </c>
      <c r="F283" s="5" t="s">
        <v>440</v>
      </c>
      <c r="G283" s="11" t="s">
        <v>23</v>
      </c>
      <c r="H283" s="11" t="s">
        <v>408</v>
      </c>
      <c r="I283" s="11" t="s">
        <v>25</v>
      </c>
      <c r="J283" s="11" t="s">
        <v>26</v>
      </c>
      <c r="K283" s="59">
        <v>43614</v>
      </c>
      <c r="L283" s="50">
        <v>46042</v>
      </c>
      <c r="M283" s="5" t="s">
        <v>441</v>
      </c>
      <c r="N283" s="32">
        <v>34568.231428571402</v>
      </c>
      <c r="O283" s="55">
        <f t="shared" si="4"/>
        <v>34568.231428571402</v>
      </c>
      <c r="P283" s="11" t="s">
        <v>73</v>
      </c>
      <c r="Q283" s="11" t="s">
        <v>37</v>
      </c>
      <c r="R283" s="11" t="s">
        <v>37</v>
      </c>
      <c r="S283" s="11" t="s">
        <v>37</v>
      </c>
      <c r="T283" s="75" t="s">
        <v>58</v>
      </c>
      <c r="U283" s="5" t="s">
        <v>37</v>
      </c>
    </row>
    <row r="284" spans="1:21" s="1" customFormat="1" ht="14.4" x14ac:dyDescent="0.3">
      <c r="A284" s="11" t="s">
        <v>437</v>
      </c>
      <c r="B284" s="11" t="s">
        <v>438</v>
      </c>
      <c r="C284" s="11" t="s">
        <v>439</v>
      </c>
      <c r="D284" s="5" t="s">
        <v>417</v>
      </c>
      <c r="E284" s="11">
        <v>1</v>
      </c>
      <c r="F284" s="5" t="s">
        <v>440</v>
      </c>
      <c r="G284" s="11" t="s">
        <v>23</v>
      </c>
      <c r="H284" s="11" t="s">
        <v>408</v>
      </c>
      <c r="I284" s="11" t="s">
        <v>25</v>
      </c>
      <c r="J284" s="11" t="s">
        <v>26</v>
      </c>
      <c r="K284" s="59">
        <v>43614</v>
      </c>
      <c r="L284" s="50">
        <v>46042</v>
      </c>
      <c r="M284" s="5" t="s">
        <v>441</v>
      </c>
      <c r="N284" s="32">
        <v>34568.231428571402</v>
      </c>
      <c r="O284" s="55">
        <f t="shared" si="4"/>
        <v>34568.231428571402</v>
      </c>
      <c r="P284" s="11" t="s">
        <v>73</v>
      </c>
      <c r="Q284" s="11" t="s">
        <v>37</v>
      </c>
      <c r="R284" s="11" t="s">
        <v>37</v>
      </c>
      <c r="S284" s="11" t="s">
        <v>37</v>
      </c>
      <c r="T284" s="75" t="s">
        <v>58</v>
      </c>
      <c r="U284" s="5" t="s">
        <v>37</v>
      </c>
    </row>
    <row r="285" spans="1:21" s="1" customFormat="1" ht="14.4" x14ac:dyDescent="0.3">
      <c r="A285" s="11" t="s">
        <v>437</v>
      </c>
      <c r="B285" s="11" t="s">
        <v>438</v>
      </c>
      <c r="C285" s="11" t="s">
        <v>439</v>
      </c>
      <c r="D285" s="5" t="s">
        <v>417</v>
      </c>
      <c r="E285" s="11">
        <v>1</v>
      </c>
      <c r="F285" s="5" t="s">
        <v>440</v>
      </c>
      <c r="G285" s="11" t="s">
        <v>23</v>
      </c>
      <c r="H285" s="11" t="s">
        <v>408</v>
      </c>
      <c r="I285" s="11" t="s">
        <v>25</v>
      </c>
      <c r="J285" s="11" t="s">
        <v>26</v>
      </c>
      <c r="K285" s="59">
        <v>43614</v>
      </c>
      <c r="L285" s="50">
        <v>46042</v>
      </c>
      <c r="M285" s="5" t="s">
        <v>441</v>
      </c>
      <c r="N285" s="32">
        <v>34567.231428571431</v>
      </c>
      <c r="O285" s="55">
        <f t="shared" si="4"/>
        <v>34567.231428571431</v>
      </c>
      <c r="P285" s="11" t="s">
        <v>73</v>
      </c>
      <c r="Q285" s="11" t="s">
        <v>37</v>
      </c>
      <c r="R285" s="11" t="s">
        <v>37</v>
      </c>
      <c r="S285" s="11" t="s">
        <v>37</v>
      </c>
      <c r="T285" s="75" t="s">
        <v>58</v>
      </c>
      <c r="U285" s="5" t="s">
        <v>37</v>
      </c>
    </row>
    <row r="286" spans="1:21" s="1" customFormat="1" ht="14.4" x14ac:dyDescent="0.3">
      <c r="A286" s="11" t="s">
        <v>442</v>
      </c>
      <c r="B286" s="11" t="s">
        <v>443</v>
      </c>
      <c r="C286" s="11" t="s">
        <v>416</v>
      </c>
      <c r="D286" s="5" t="s">
        <v>417</v>
      </c>
      <c r="E286" s="12">
        <v>1</v>
      </c>
      <c r="F286" s="11" t="s">
        <v>37</v>
      </c>
      <c r="G286" s="11" t="s">
        <v>23</v>
      </c>
      <c r="H286" s="11" t="s">
        <v>408</v>
      </c>
      <c r="I286" s="11" t="s">
        <v>25</v>
      </c>
      <c r="J286" s="11" t="s">
        <v>26</v>
      </c>
      <c r="K286" s="11" t="s">
        <v>37</v>
      </c>
      <c r="L286" s="50">
        <v>46102</v>
      </c>
      <c r="M286" s="11" t="s">
        <v>37</v>
      </c>
      <c r="N286" s="11">
        <v>0</v>
      </c>
      <c r="O286" s="55">
        <f t="shared" si="4"/>
        <v>0</v>
      </c>
      <c r="P286" s="11"/>
      <c r="Q286" s="11" t="s">
        <v>37</v>
      </c>
      <c r="R286" s="11" t="s">
        <v>37</v>
      </c>
      <c r="S286" s="11" t="s">
        <v>37</v>
      </c>
      <c r="T286" s="11" t="s">
        <v>37</v>
      </c>
      <c r="U286" s="11" t="s">
        <v>37</v>
      </c>
    </row>
    <row r="287" spans="1:21" s="1" customFormat="1" ht="26.4" x14ac:dyDescent="0.3">
      <c r="A287" s="11" t="s">
        <v>444</v>
      </c>
      <c r="B287" s="5" t="s">
        <v>445</v>
      </c>
      <c r="C287" s="11" t="s">
        <v>446</v>
      </c>
      <c r="D287" s="5" t="s">
        <v>417</v>
      </c>
      <c r="E287" s="11">
        <v>1</v>
      </c>
      <c r="F287" s="5" t="s">
        <v>425</v>
      </c>
      <c r="G287" s="11" t="s">
        <v>23</v>
      </c>
      <c r="H287" s="11" t="s">
        <v>426</v>
      </c>
      <c r="I287" s="11" t="s">
        <v>25</v>
      </c>
      <c r="J287" s="11" t="s">
        <v>26</v>
      </c>
      <c r="K287" s="52">
        <v>45280</v>
      </c>
      <c r="L287" s="50">
        <v>46032</v>
      </c>
      <c r="M287" s="5" t="s">
        <v>447</v>
      </c>
      <c r="N287" s="5">
        <v>19305</v>
      </c>
      <c r="O287" s="55">
        <f t="shared" si="4"/>
        <v>19305</v>
      </c>
      <c r="P287" s="11" t="s">
        <v>73</v>
      </c>
      <c r="Q287" s="43" t="s">
        <v>428</v>
      </c>
      <c r="R287" s="5" t="s">
        <v>429</v>
      </c>
      <c r="S287" s="5" t="s">
        <v>430</v>
      </c>
      <c r="T287" s="5" t="s">
        <v>41</v>
      </c>
      <c r="U287" s="5" t="s">
        <v>37</v>
      </c>
    </row>
    <row r="288" spans="1:21" s="1" customFormat="1" ht="26.4" x14ac:dyDescent="0.3">
      <c r="A288" s="11" t="s">
        <v>448</v>
      </c>
      <c r="B288" s="11" t="s">
        <v>449</v>
      </c>
      <c r="C288" s="11" t="s">
        <v>416</v>
      </c>
      <c r="D288" s="11" t="s">
        <v>450</v>
      </c>
      <c r="E288" s="11">
        <v>1</v>
      </c>
      <c r="F288" s="5" t="s">
        <v>440</v>
      </c>
      <c r="G288" s="11" t="s">
        <v>23</v>
      </c>
      <c r="H288" s="11" t="s">
        <v>408</v>
      </c>
      <c r="I288" s="11" t="s">
        <v>25</v>
      </c>
      <c r="J288" s="11" t="s">
        <v>26</v>
      </c>
      <c r="K288" s="59">
        <v>43614</v>
      </c>
      <c r="L288" s="50">
        <v>46045</v>
      </c>
      <c r="M288" s="5" t="s">
        <v>441</v>
      </c>
      <c r="N288" s="32">
        <v>34568.231428571402</v>
      </c>
      <c r="O288" s="55">
        <f t="shared" si="4"/>
        <v>34568.231428571402</v>
      </c>
      <c r="P288" s="11" t="s">
        <v>73</v>
      </c>
      <c r="Q288" s="11" t="s">
        <v>37</v>
      </c>
      <c r="R288" s="11" t="s">
        <v>37</v>
      </c>
      <c r="S288" s="11" t="s">
        <v>37</v>
      </c>
      <c r="T288" s="11" t="s">
        <v>58</v>
      </c>
      <c r="U288" s="73" t="s">
        <v>451</v>
      </c>
    </row>
    <row r="289" spans="1:21" s="1" customFormat="1" ht="26.4" x14ac:dyDescent="0.3">
      <c r="A289" s="11" t="s">
        <v>1176</v>
      </c>
      <c r="B289" s="11" t="s">
        <v>452</v>
      </c>
      <c r="C289" s="11" t="s">
        <v>37</v>
      </c>
      <c r="D289" s="11" t="s">
        <v>450</v>
      </c>
      <c r="E289" s="11">
        <v>1</v>
      </c>
      <c r="F289" s="5" t="s">
        <v>407</v>
      </c>
      <c r="G289" s="11" t="s">
        <v>23</v>
      </c>
      <c r="H289" s="11" t="s">
        <v>408</v>
      </c>
      <c r="I289" s="11" t="s">
        <v>25</v>
      </c>
      <c r="J289" s="11" t="s">
        <v>26</v>
      </c>
      <c r="K289" s="83">
        <v>43544</v>
      </c>
      <c r="L289" s="50">
        <v>46045</v>
      </c>
      <c r="M289" s="5" t="s">
        <v>418</v>
      </c>
      <c r="N289" s="55">
        <v>62722</v>
      </c>
      <c r="O289" s="55">
        <f t="shared" si="4"/>
        <v>62722</v>
      </c>
      <c r="P289" s="11" t="s">
        <v>73</v>
      </c>
      <c r="Q289" s="43" t="s">
        <v>409</v>
      </c>
      <c r="R289" s="5">
        <v>9930806006</v>
      </c>
      <c r="S289" s="5" t="s">
        <v>410</v>
      </c>
      <c r="T289" s="11" t="s">
        <v>1144</v>
      </c>
      <c r="U289" s="73" t="s">
        <v>453</v>
      </c>
    </row>
    <row r="290" spans="1:21" s="2" customFormat="1" x14ac:dyDescent="0.3">
      <c r="A290" s="24" t="s">
        <v>874</v>
      </c>
      <c r="B290" s="24" t="s">
        <v>875</v>
      </c>
      <c r="C290" s="24" t="s">
        <v>37</v>
      </c>
      <c r="D290" s="5" t="s">
        <v>455</v>
      </c>
      <c r="E290" s="17">
        <v>1</v>
      </c>
      <c r="F290" s="11" t="s">
        <v>37</v>
      </c>
      <c r="G290" s="25" t="s">
        <v>23</v>
      </c>
      <c r="H290" s="5" t="s">
        <v>580</v>
      </c>
      <c r="I290" s="25" t="s">
        <v>25</v>
      </c>
      <c r="J290" s="25" t="s">
        <v>26</v>
      </c>
      <c r="K290" s="11" t="s">
        <v>37</v>
      </c>
      <c r="L290" s="50">
        <v>46106</v>
      </c>
      <c r="M290" s="11" t="s">
        <v>37</v>
      </c>
      <c r="N290" s="24">
        <v>0</v>
      </c>
      <c r="O290" s="55">
        <f t="shared" si="4"/>
        <v>0</v>
      </c>
      <c r="P290" s="24"/>
      <c r="Q290" s="11" t="s">
        <v>37</v>
      </c>
      <c r="R290" s="11" t="s">
        <v>37</v>
      </c>
      <c r="S290" s="11" t="s">
        <v>37</v>
      </c>
      <c r="T290" s="11" t="s">
        <v>37</v>
      </c>
      <c r="U290" s="84" t="s">
        <v>875</v>
      </c>
    </row>
    <row r="291" spans="1:21" s="1" customFormat="1" ht="14.4" x14ac:dyDescent="0.3">
      <c r="A291" s="11" t="s">
        <v>958</v>
      </c>
      <c r="B291" s="11" t="s">
        <v>454</v>
      </c>
      <c r="C291" s="11" t="s">
        <v>37</v>
      </c>
      <c r="D291" s="11" t="s">
        <v>455</v>
      </c>
      <c r="E291" s="12">
        <v>2</v>
      </c>
      <c r="F291" s="5" t="s">
        <v>440</v>
      </c>
      <c r="G291" s="11" t="s">
        <v>23</v>
      </c>
      <c r="H291" s="11" t="s">
        <v>408</v>
      </c>
      <c r="I291" s="11" t="s">
        <v>25</v>
      </c>
      <c r="J291" s="11" t="s">
        <v>26</v>
      </c>
      <c r="K291" s="11" t="s">
        <v>37</v>
      </c>
      <c r="L291" s="50">
        <v>46102</v>
      </c>
      <c r="M291" s="11" t="s">
        <v>37</v>
      </c>
      <c r="N291" s="11">
        <v>0</v>
      </c>
      <c r="O291" s="55">
        <f t="shared" si="4"/>
        <v>0</v>
      </c>
      <c r="P291" s="11"/>
      <c r="Q291" s="11" t="s">
        <v>37</v>
      </c>
      <c r="R291" s="11" t="s">
        <v>37</v>
      </c>
      <c r="S291" s="11" t="s">
        <v>37</v>
      </c>
      <c r="T291" s="11" t="s">
        <v>37</v>
      </c>
      <c r="U291" s="73" t="s">
        <v>958</v>
      </c>
    </row>
    <row r="292" spans="1:21" s="1" customFormat="1" ht="14.4" x14ac:dyDescent="0.3">
      <c r="A292" s="11" t="s">
        <v>1371</v>
      </c>
      <c r="B292" s="11" t="s">
        <v>1372</v>
      </c>
      <c r="C292" s="11" t="s">
        <v>457</v>
      </c>
      <c r="D292" s="11" t="s">
        <v>450</v>
      </c>
      <c r="E292" s="12">
        <v>1</v>
      </c>
      <c r="F292" s="11" t="s">
        <v>37</v>
      </c>
      <c r="G292" s="11" t="s">
        <v>23</v>
      </c>
      <c r="H292" s="5" t="s">
        <v>580</v>
      </c>
      <c r="I292" s="11" t="s">
        <v>25</v>
      </c>
      <c r="J292" s="11" t="s">
        <v>26</v>
      </c>
      <c r="K292" s="11" t="s">
        <v>37</v>
      </c>
      <c r="L292" s="50">
        <v>46104</v>
      </c>
      <c r="M292" s="11" t="s">
        <v>37</v>
      </c>
      <c r="N292" s="11">
        <v>0</v>
      </c>
      <c r="O292" s="55">
        <f t="shared" si="4"/>
        <v>0</v>
      </c>
      <c r="P292" s="11"/>
      <c r="Q292" s="11" t="s">
        <v>37</v>
      </c>
      <c r="R292" s="11" t="s">
        <v>37</v>
      </c>
      <c r="S292" s="11" t="s">
        <v>37</v>
      </c>
      <c r="T292" s="11" t="s">
        <v>37</v>
      </c>
      <c r="U292" s="73" t="s">
        <v>458</v>
      </c>
    </row>
    <row r="293" spans="1:21" s="1" customFormat="1" ht="14.4" x14ac:dyDescent="0.3">
      <c r="A293" s="11" t="s">
        <v>518</v>
      </c>
      <c r="B293" s="5" t="s">
        <v>432</v>
      </c>
      <c r="C293" s="11" t="s">
        <v>37</v>
      </c>
      <c r="D293" s="11" t="s">
        <v>1311</v>
      </c>
      <c r="E293" s="11">
        <v>1</v>
      </c>
      <c r="F293" s="5" t="s">
        <v>1257</v>
      </c>
      <c r="G293" s="11" t="s">
        <v>23</v>
      </c>
      <c r="H293" s="5" t="s">
        <v>311</v>
      </c>
      <c r="I293" s="11" t="s">
        <v>25</v>
      </c>
      <c r="J293" s="11" t="s">
        <v>26</v>
      </c>
      <c r="K293" s="50">
        <v>45121</v>
      </c>
      <c r="L293" s="50">
        <v>46085</v>
      </c>
      <c r="M293" s="11" t="s">
        <v>1258</v>
      </c>
      <c r="N293" s="11">
        <v>4001</v>
      </c>
      <c r="O293" s="55">
        <f t="shared" si="4"/>
        <v>4001</v>
      </c>
      <c r="P293" s="11" t="s">
        <v>73</v>
      </c>
      <c r="Q293" s="43" t="s">
        <v>1259</v>
      </c>
      <c r="R293" s="5">
        <v>9820023829</v>
      </c>
      <c r="S293" s="5" t="s">
        <v>1260</v>
      </c>
      <c r="T293" s="11" t="s">
        <v>41</v>
      </c>
      <c r="U293" s="11" t="s">
        <v>37</v>
      </c>
    </row>
    <row r="294" spans="1:21" s="1" customFormat="1" ht="14.4" x14ac:dyDescent="0.3">
      <c r="A294" s="11" t="s">
        <v>459</v>
      </c>
      <c r="B294" s="11" t="s">
        <v>460</v>
      </c>
      <c r="C294" s="11" t="s">
        <v>37</v>
      </c>
      <c r="D294" s="11" t="s">
        <v>450</v>
      </c>
      <c r="E294" s="12">
        <v>1</v>
      </c>
      <c r="F294" s="11" t="s">
        <v>37</v>
      </c>
      <c r="G294" s="11" t="s">
        <v>23</v>
      </c>
      <c r="H294" s="11" t="s">
        <v>408</v>
      </c>
      <c r="I294" s="11" t="s">
        <v>25</v>
      </c>
      <c r="J294" s="11" t="s">
        <v>26</v>
      </c>
      <c r="K294" s="11" t="s">
        <v>37</v>
      </c>
      <c r="L294" s="50">
        <v>46102</v>
      </c>
      <c r="M294" s="11" t="s">
        <v>37</v>
      </c>
      <c r="N294" s="11">
        <v>0</v>
      </c>
      <c r="O294" s="55">
        <f t="shared" si="4"/>
        <v>0</v>
      </c>
      <c r="P294" s="11"/>
      <c r="Q294" s="11" t="s">
        <v>37</v>
      </c>
      <c r="R294" s="11" t="s">
        <v>37</v>
      </c>
      <c r="S294" s="11" t="s">
        <v>37</v>
      </c>
      <c r="T294" s="11" t="s">
        <v>37</v>
      </c>
      <c r="U294" s="11" t="s">
        <v>37</v>
      </c>
    </row>
    <row r="295" spans="1:21" s="1" customFormat="1" ht="14.4" x14ac:dyDescent="0.3">
      <c r="A295" s="5" t="s">
        <v>461</v>
      </c>
      <c r="B295" s="5" t="s">
        <v>461</v>
      </c>
      <c r="C295" s="12" t="s">
        <v>436</v>
      </c>
      <c r="D295" s="8" t="s">
        <v>462</v>
      </c>
      <c r="E295" s="8">
        <v>1</v>
      </c>
      <c r="F295" s="5" t="s">
        <v>37</v>
      </c>
      <c r="G295" s="8" t="s">
        <v>23</v>
      </c>
      <c r="H295" s="8" t="s">
        <v>580</v>
      </c>
      <c r="I295" s="8" t="s">
        <v>25</v>
      </c>
      <c r="J295" s="8" t="s">
        <v>72</v>
      </c>
      <c r="K295" s="5" t="s">
        <v>37</v>
      </c>
      <c r="L295" s="13">
        <v>46102</v>
      </c>
      <c r="M295" s="5" t="s">
        <v>37</v>
      </c>
      <c r="N295" s="8">
        <v>0</v>
      </c>
      <c r="O295" s="14">
        <f t="shared" si="4"/>
        <v>0</v>
      </c>
      <c r="P295" s="8"/>
      <c r="Q295" s="5" t="s">
        <v>37</v>
      </c>
      <c r="R295" s="5" t="s">
        <v>37</v>
      </c>
      <c r="S295" s="5" t="s">
        <v>37</v>
      </c>
      <c r="T295" s="5" t="s">
        <v>37</v>
      </c>
      <c r="U295" s="7" t="s">
        <v>463</v>
      </c>
    </row>
    <row r="296" spans="1:21" s="6" customFormat="1" ht="26.4" x14ac:dyDescent="0.3">
      <c r="A296" s="5" t="s">
        <v>1081</v>
      </c>
      <c r="B296" s="5" t="s">
        <v>940</v>
      </c>
      <c r="C296" s="28" t="s">
        <v>854</v>
      </c>
      <c r="D296" s="11" t="s">
        <v>1326</v>
      </c>
      <c r="E296" s="8">
        <v>97</v>
      </c>
      <c r="F296" s="5" t="s">
        <v>821</v>
      </c>
      <c r="G296" s="5" t="s">
        <v>23</v>
      </c>
      <c r="H296" s="5" t="s">
        <v>408</v>
      </c>
      <c r="I296" s="5" t="s">
        <v>25</v>
      </c>
      <c r="J296" s="11" t="s">
        <v>26</v>
      </c>
      <c r="K296" s="52">
        <v>45678</v>
      </c>
      <c r="L296" s="52">
        <v>46035</v>
      </c>
      <c r="M296" s="5" t="s">
        <v>867</v>
      </c>
      <c r="N296" s="55">
        <v>1400</v>
      </c>
      <c r="O296" s="55">
        <f t="shared" si="4"/>
        <v>135800</v>
      </c>
      <c r="P296" s="5"/>
      <c r="Q296" s="43" t="s">
        <v>823</v>
      </c>
      <c r="R296" s="5">
        <v>9820797926</v>
      </c>
      <c r="S296" s="5" t="s">
        <v>868</v>
      </c>
      <c r="T296" s="5" t="s">
        <v>941</v>
      </c>
      <c r="U296" s="5" t="s">
        <v>37</v>
      </c>
    </row>
    <row r="297" spans="1:21" s="6" customFormat="1" ht="26.4" x14ac:dyDescent="0.3">
      <c r="A297" s="26" t="s">
        <v>1081</v>
      </c>
      <c r="B297" s="26" t="s">
        <v>940</v>
      </c>
      <c r="C297" s="26" t="s">
        <v>854</v>
      </c>
      <c r="D297" s="11" t="s">
        <v>455</v>
      </c>
      <c r="E297" s="26">
        <v>1</v>
      </c>
      <c r="F297" s="5" t="s">
        <v>821</v>
      </c>
      <c r="G297" s="26" t="s">
        <v>23</v>
      </c>
      <c r="H297" s="5" t="s">
        <v>408</v>
      </c>
      <c r="I297" s="5" t="s">
        <v>25</v>
      </c>
      <c r="J297" s="11" t="s">
        <v>26</v>
      </c>
      <c r="K297" s="52">
        <v>45678</v>
      </c>
      <c r="L297" s="52">
        <v>46035</v>
      </c>
      <c r="M297" s="5" t="s">
        <v>867</v>
      </c>
      <c r="N297" s="5">
        <v>1400</v>
      </c>
      <c r="O297" s="55">
        <f t="shared" si="4"/>
        <v>1400</v>
      </c>
      <c r="P297" s="5" t="s">
        <v>50</v>
      </c>
      <c r="Q297" s="43" t="s">
        <v>823</v>
      </c>
      <c r="R297" s="5">
        <v>9820797926</v>
      </c>
      <c r="S297" s="5" t="s">
        <v>868</v>
      </c>
      <c r="T297" s="5" t="s">
        <v>941</v>
      </c>
      <c r="U297" s="5" t="s">
        <v>37</v>
      </c>
    </row>
    <row r="298" spans="1:21" s="6" customFormat="1" ht="26.4" x14ac:dyDescent="0.3">
      <c r="A298" s="26" t="s">
        <v>1081</v>
      </c>
      <c r="B298" s="26" t="s">
        <v>940</v>
      </c>
      <c r="C298" s="26" t="s">
        <v>854</v>
      </c>
      <c r="D298" s="5" t="s">
        <v>22</v>
      </c>
      <c r="E298" s="26">
        <v>1</v>
      </c>
      <c r="F298" s="5" t="s">
        <v>821</v>
      </c>
      <c r="G298" s="26" t="s">
        <v>23</v>
      </c>
      <c r="H298" s="5" t="s">
        <v>408</v>
      </c>
      <c r="I298" s="5" t="s">
        <v>25</v>
      </c>
      <c r="J298" s="11" t="s">
        <v>26</v>
      </c>
      <c r="K298" s="52">
        <v>45678</v>
      </c>
      <c r="L298" s="52">
        <v>46035</v>
      </c>
      <c r="M298" s="5" t="s">
        <v>867</v>
      </c>
      <c r="N298" s="5">
        <v>1400</v>
      </c>
      <c r="O298" s="55">
        <f t="shared" si="4"/>
        <v>1400</v>
      </c>
      <c r="P298" s="5" t="s">
        <v>50</v>
      </c>
      <c r="Q298" s="43" t="s">
        <v>823</v>
      </c>
      <c r="R298" s="5">
        <v>9820797926</v>
      </c>
      <c r="S298" s="5" t="s">
        <v>868</v>
      </c>
      <c r="T298" s="5" t="s">
        <v>941</v>
      </c>
      <c r="U298" s="5" t="s">
        <v>37</v>
      </c>
    </row>
    <row r="299" spans="1:21" s="6" customFormat="1" ht="26.4" x14ac:dyDescent="0.3">
      <c r="A299" s="26" t="s">
        <v>1081</v>
      </c>
      <c r="B299" s="26" t="s">
        <v>940</v>
      </c>
      <c r="C299" s="26" t="s">
        <v>854</v>
      </c>
      <c r="D299" s="5" t="s">
        <v>417</v>
      </c>
      <c r="E299" s="26">
        <v>1</v>
      </c>
      <c r="F299" s="5" t="s">
        <v>821</v>
      </c>
      <c r="G299" s="26" t="s">
        <v>23</v>
      </c>
      <c r="H299" s="5" t="s">
        <v>408</v>
      </c>
      <c r="I299" s="5" t="s">
        <v>25</v>
      </c>
      <c r="J299" s="11" t="s">
        <v>26</v>
      </c>
      <c r="K299" s="52">
        <v>45678</v>
      </c>
      <c r="L299" s="52">
        <v>46035</v>
      </c>
      <c r="M299" s="5" t="s">
        <v>867</v>
      </c>
      <c r="N299" s="5">
        <v>1400</v>
      </c>
      <c r="O299" s="55">
        <f t="shared" si="4"/>
        <v>1400</v>
      </c>
      <c r="P299" s="5" t="s">
        <v>50</v>
      </c>
      <c r="Q299" s="43" t="s">
        <v>823</v>
      </c>
      <c r="R299" s="5">
        <v>9820797926</v>
      </c>
      <c r="S299" s="5" t="s">
        <v>868</v>
      </c>
      <c r="T299" s="5" t="s">
        <v>941</v>
      </c>
      <c r="U299" s="5" t="s">
        <v>37</v>
      </c>
    </row>
    <row r="300" spans="1:21" s="6" customFormat="1" ht="26.4" x14ac:dyDescent="0.3">
      <c r="A300" s="28" t="s">
        <v>1081</v>
      </c>
      <c r="B300" s="28" t="s">
        <v>940</v>
      </c>
      <c r="C300" s="30" t="s">
        <v>854</v>
      </c>
      <c r="D300" s="12" t="s">
        <v>1326</v>
      </c>
      <c r="E300" s="30">
        <v>3</v>
      </c>
      <c r="F300" s="5" t="s">
        <v>821</v>
      </c>
      <c r="G300" s="30" t="s">
        <v>23</v>
      </c>
      <c r="H300" s="8" t="s">
        <v>408</v>
      </c>
      <c r="I300" s="8" t="s">
        <v>25</v>
      </c>
      <c r="J300" s="12" t="s">
        <v>72</v>
      </c>
      <c r="K300" s="13">
        <v>45899</v>
      </c>
      <c r="L300" s="13">
        <v>46035</v>
      </c>
      <c r="M300" s="8" t="s">
        <v>871</v>
      </c>
      <c r="N300" s="14">
        <v>1275</v>
      </c>
      <c r="O300" s="14">
        <f t="shared" si="4"/>
        <v>3825</v>
      </c>
      <c r="P300" s="8"/>
      <c r="Q300" s="7" t="s">
        <v>823</v>
      </c>
      <c r="R300" s="8">
        <v>9820797926</v>
      </c>
      <c r="S300" s="8" t="s">
        <v>868</v>
      </c>
      <c r="T300" s="8" t="s">
        <v>941</v>
      </c>
      <c r="U300" s="8" t="s">
        <v>37</v>
      </c>
    </row>
    <row r="301" spans="1:21" s="6" customFormat="1" ht="26.4" x14ac:dyDescent="0.3">
      <c r="A301" s="28" t="s">
        <v>1081</v>
      </c>
      <c r="B301" s="11" t="s">
        <v>464</v>
      </c>
      <c r="C301" s="12" t="s">
        <v>465</v>
      </c>
      <c r="D301" s="12" t="s">
        <v>1326</v>
      </c>
      <c r="E301" s="12">
        <v>1</v>
      </c>
      <c r="F301" s="5" t="s">
        <v>821</v>
      </c>
      <c r="G301" s="12" t="s">
        <v>23</v>
      </c>
      <c r="H301" s="12" t="s">
        <v>408</v>
      </c>
      <c r="I301" s="12" t="s">
        <v>25</v>
      </c>
      <c r="J301" s="12" t="s">
        <v>72</v>
      </c>
      <c r="K301" s="13">
        <v>45899</v>
      </c>
      <c r="L301" s="13">
        <v>46035</v>
      </c>
      <c r="M301" s="8" t="s">
        <v>871</v>
      </c>
      <c r="N301" s="14">
        <v>1275</v>
      </c>
      <c r="O301" s="14">
        <f t="shared" si="4"/>
        <v>1275</v>
      </c>
      <c r="P301" s="12"/>
      <c r="Q301" s="7" t="s">
        <v>823</v>
      </c>
      <c r="R301" s="8">
        <v>9820797926</v>
      </c>
      <c r="S301" s="8" t="s">
        <v>868</v>
      </c>
      <c r="T301" s="8" t="s">
        <v>941</v>
      </c>
      <c r="U301" s="8" t="s">
        <v>37</v>
      </c>
    </row>
    <row r="302" spans="1:21" s="1" customFormat="1" ht="26.4" x14ac:dyDescent="0.3">
      <c r="A302" s="11" t="s">
        <v>1177</v>
      </c>
      <c r="B302" s="11" t="s">
        <v>452</v>
      </c>
      <c r="C302" s="11" t="s">
        <v>37</v>
      </c>
      <c r="D302" s="11" t="s">
        <v>455</v>
      </c>
      <c r="E302" s="11">
        <v>1</v>
      </c>
      <c r="F302" s="5" t="s">
        <v>407</v>
      </c>
      <c r="G302" s="11" t="s">
        <v>23</v>
      </c>
      <c r="H302" s="11" t="s">
        <v>408</v>
      </c>
      <c r="I302" s="11" t="s">
        <v>25</v>
      </c>
      <c r="J302" s="11" t="s">
        <v>26</v>
      </c>
      <c r="K302" s="83">
        <v>43544</v>
      </c>
      <c r="L302" s="50">
        <v>46045</v>
      </c>
      <c r="M302" s="5" t="s">
        <v>418</v>
      </c>
      <c r="N302" s="55">
        <v>62722</v>
      </c>
      <c r="O302" s="55">
        <f t="shared" si="4"/>
        <v>62722</v>
      </c>
      <c r="P302" s="11" t="s">
        <v>73</v>
      </c>
      <c r="Q302" s="43" t="s">
        <v>409</v>
      </c>
      <c r="R302" s="5">
        <v>9930806006</v>
      </c>
      <c r="S302" s="5" t="s">
        <v>410</v>
      </c>
      <c r="T302" s="11" t="s">
        <v>1144</v>
      </c>
      <c r="U302" s="73" t="s">
        <v>453</v>
      </c>
    </row>
    <row r="303" spans="1:21" s="1" customFormat="1" ht="26.4" x14ac:dyDescent="0.3">
      <c r="A303" s="11" t="s">
        <v>467</v>
      </c>
      <c r="B303" s="11" t="s">
        <v>468</v>
      </c>
      <c r="C303" s="11" t="s">
        <v>416</v>
      </c>
      <c r="D303" s="11" t="s">
        <v>455</v>
      </c>
      <c r="E303" s="12">
        <v>2</v>
      </c>
      <c r="F303" s="5" t="s">
        <v>407</v>
      </c>
      <c r="G303" s="11" t="s">
        <v>23</v>
      </c>
      <c r="H303" s="11" t="s">
        <v>408</v>
      </c>
      <c r="I303" s="11" t="s">
        <v>25</v>
      </c>
      <c r="J303" s="11" t="s">
        <v>26</v>
      </c>
      <c r="K303" s="11" t="s">
        <v>37</v>
      </c>
      <c r="L303" s="50">
        <v>46102</v>
      </c>
      <c r="M303" s="11" t="s">
        <v>37</v>
      </c>
      <c r="N303" s="11">
        <v>0</v>
      </c>
      <c r="O303" s="55">
        <f t="shared" si="4"/>
        <v>0</v>
      </c>
      <c r="P303" s="11"/>
      <c r="Q303" s="43" t="s">
        <v>409</v>
      </c>
      <c r="R303" s="5">
        <v>9930806006</v>
      </c>
      <c r="S303" s="5" t="s">
        <v>410</v>
      </c>
      <c r="T303" s="11" t="s">
        <v>37</v>
      </c>
      <c r="U303" s="73" t="s">
        <v>469</v>
      </c>
    </row>
    <row r="304" spans="1:21" s="1" customFormat="1" ht="39.6" x14ac:dyDescent="0.3">
      <c r="A304" s="11" t="s">
        <v>412</v>
      </c>
      <c r="B304" s="11" t="s">
        <v>1388</v>
      </c>
      <c r="C304" s="11" t="s">
        <v>470</v>
      </c>
      <c r="D304" s="11" t="s">
        <v>455</v>
      </c>
      <c r="E304" s="12">
        <v>1</v>
      </c>
      <c r="F304" s="5" t="s">
        <v>1383</v>
      </c>
      <c r="G304" s="11" t="s">
        <v>23</v>
      </c>
      <c r="H304" s="5" t="s">
        <v>580</v>
      </c>
      <c r="I304" s="11" t="s">
        <v>25</v>
      </c>
      <c r="J304" s="11" t="s">
        <v>26</v>
      </c>
      <c r="K304" s="50">
        <v>43547</v>
      </c>
      <c r="L304" s="50">
        <v>46104</v>
      </c>
      <c r="M304" s="11" t="s">
        <v>1387</v>
      </c>
      <c r="N304" s="11">
        <v>45657.02</v>
      </c>
      <c r="O304" s="55">
        <f t="shared" si="4"/>
        <v>45657.02</v>
      </c>
      <c r="P304" s="11"/>
      <c r="Q304" s="43" t="s">
        <v>1259</v>
      </c>
      <c r="R304" s="5">
        <v>9820023829</v>
      </c>
      <c r="S304" s="5" t="s">
        <v>1260</v>
      </c>
      <c r="T304" s="11" t="s">
        <v>58</v>
      </c>
      <c r="U304" s="11" t="s">
        <v>37</v>
      </c>
    </row>
    <row r="305" spans="1:21" s="1" customFormat="1" ht="14.4" x14ac:dyDescent="0.3">
      <c r="A305" s="11" t="s">
        <v>1371</v>
      </c>
      <c r="B305" s="11" t="s">
        <v>1372</v>
      </c>
      <c r="C305" s="11" t="s">
        <v>1373</v>
      </c>
      <c r="D305" s="11" t="s">
        <v>455</v>
      </c>
      <c r="E305" s="12">
        <v>1</v>
      </c>
      <c r="F305" s="11" t="s">
        <v>37</v>
      </c>
      <c r="G305" s="11" t="s">
        <v>23</v>
      </c>
      <c r="H305" s="5" t="s">
        <v>580</v>
      </c>
      <c r="I305" s="11" t="s">
        <v>25</v>
      </c>
      <c r="J305" s="11" t="s">
        <v>26</v>
      </c>
      <c r="K305" s="11" t="s">
        <v>37</v>
      </c>
      <c r="L305" s="50">
        <v>46104</v>
      </c>
      <c r="M305" s="11" t="s">
        <v>37</v>
      </c>
      <c r="N305" s="11">
        <v>0</v>
      </c>
      <c r="O305" s="55">
        <f t="shared" si="4"/>
        <v>0</v>
      </c>
      <c r="P305" s="11"/>
      <c r="Q305" s="11" t="s">
        <v>37</v>
      </c>
      <c r="R305" s="11" t="s">
        <v>37</v>
      </c>
      <c r="S305" s="11" t="s">
        <v>37</v>
      </c>
      <c r="T305" s="11" t="s">
        <v>37</v>
      </c>
      <c r="U305" s="73" t="s">
        <v>458</v>
      </c>
    </row>
    <row r="306" spans="1:21" s="1" customFormat="1" ht="26.4" x14ac:dyDescent="0.3">
      <c r="A306" s="11" t="s">
        <v>1178</v>
      </c>
      <c r="B306" s="11" t="s">
        <v>452</v>
      </c>
      <c r="C306" s="11" t="s">
        <v>37</v>
      </c>
      <c r="D306" s="11" t="s">
        <v>471</v>
      </c>
      <c r="E306" s="11">
        <v>1</v>
      </c>
      <c r="F306" s="5" t="s">
        <v>407</v>
      </c>
      <c r="G306" s="11" t="s">
        <v>23</v>
      </c>
      <c r="H306" s="11" t="s">
        <v>408</v>
      </c>
      <c r="I306" s="11" t="s">
        <v>25</v>
      </c>
      <c r="J306" s="11" t="s">
        <v>26</v>
      </c>
      <c r="K306" s="83">
        <v>43544</v>
      </c>
      <c r="L306" s="50">
        <v>46045</v>
      </c>
      <c r="M306" s="5" t="s">
        <v>418</v>
      </c>
      <c r="N306" s="55">
        <v>62722</v>
      </c>
      <c r="O306" s="55">
        <f t="shared" si="4"/>
        <v>62722</v>
      </c>
      <c r="P306" s="11" t="s">
        <v>73</v>
      </c>
      <c r="Q306" s="43" t="s">
        <v>409</v>
      </c>
      <c r="R306" s="5">
        <v>9930806006</v>
      </c>
      <c r="S306" s="5" t="s">
        <v>410</v>
      </c>
      <c r="T306" s="11" t="s">
        <v>1144</v>
      </c>
      <c r="U306" s="73" t="s">
        <v>466</v>
      </c>
    </row>
    <row r="307" spans="1:21" s="1" customFormat="1" ht="26.4" x14ac:dyDescent="0.3">
      <c r="A307" s="11" t="s">
        <v>405</v>
      </c>
      <c r="B307" s="11" t="s">
        <v>472</v>
      </c>
      <c r="C307" s="11" t="s">
        <v>406</v>
      </c>
      <c r="D307" s="11" t="s">
        <v>471</v>
      </c>
      <c r="E307" s="11">
        <v>1</v>
      </c>
      <c r="F307" s="5" t="s">
        <v>407</v>
      </c>
      <c r="G307" s="11" t="s">
        <v>23</v>
      </c>
      <c r="H307" s="11" t="s">
        <v>408</v>
      </c>
      <c r="I307" s="11" t="s">
        <v>25</v>
      </c>
      <c r="J307" s="11" t="s">
        <v>26</v>
      </c>
      <c r="K307" s="59">
        <v>42816</v>
      </c>
      <c r="L307" s="50">
        <v>46056</v>
      </c>
      <c r="M307" s="5">
        <v>2475</v>
      </c>
      <c r="N307" s="11">
        <v>47900</v>
      </c>
      <c r="O307" s="55">
        <f t="shared" si="4"/>
        <v>47900</v>
      </c>
      <c r="P307" s="5" t="s">
        <v>73</v>
      </c>
      <c r="Q307" s="78" t="s">
        <v>409</v>
      </c>
      <c r="R307" s="26">
        <v>9930806006</v>
      </c>
      <c r="S307" s="26" t="s">
        <v>410</v>
      </c>
      <c r="T307" s="11" t="s">
        <v>37</v>
      </c>
      <c r="U307" s="73" t="s">
        <v>473</v>
      </c>
    </row>
    <row r="308" spans="1:21" s="1" customFormat="1" ht="14.4" x14ac:dyDescent="0.3">
      <c r="A308" s="11" t="s">
        <v>474</v>
      </c>
      <c r="B308" s="11" t="s">
        <v>474</v>
      </c>
      <c r="C308" s="11" t="s">
        <v>37</v>
      </c>
      <c r="D308" s="11" t="s">
        <v>471</v>
      </c>
      <c r="E308" s="12">
        <v>1</v>
      </c>
      <c r="F308" s="11" t="s">
        <v>37</v>
      </c>
      <c r="G308" s="11" t="s">
        <v>23</v>
      </c>
      <c r="H308" s="11" t="s">
        <v>408</v>
      </c>
      <c r="I308" s="11" t="s">
        <v>25</v>
      </c>
      <c r="J308" s="11" t="s">
        <v>26</v>
      </c>
      <c r="K308" s="11" t="s">
        <v>37</v>
      </c>
      <c r="L308" s="50">
        <v>46102</v>
      </c>
      <c r="M308" s="11" t="s">
        <v>37</v>
      </c>
      <c r="N308" s="11">
        <v>0</v>
      </c>
      <c r="O308" s="55">
        <f t="shared" si="4"/>
        <v>0</v>
      </c>
      <c r="P308" s="11"/>
      <c r="Q308" s="11" t="s">
        <v>37</v>
      </c>
      <c r="R308" s="11" t="s">
        <v>37</v>
      </c>
      <c r="S308" s="11" t="s">
        <v>37</v>
      </c>
      <c r="T308" s="11" t="s">
        <v>37</v>
      </c>
      <c r="U308" s="73" t="s">
        <v>467</v>
      </c>
    </row>
    <row r="309" spans="1:21" s="1" customFormat="1" ht="14.4" x14ac:dyDescent="0.3">
      <c r="A309" s="11" t="s">
        <v>475</v>
      </c>
      <c r="B309" s="11" t="s">
        <v>476</v>
      </c>
      <c r="C309" s="11" t="s">
        <v>37</v>
      </c>
      <c r="D309" s="11" t="s">
        <v>1312</v>
      </c>
      <c r="E309" s="12">
        <v>2</v>
      </c>
      <c r="F309" s="11"/>
      <c r="G309" s="11" t="s">
        <v>23</v>
      </c>
      <c r="H309" s="11" t="s">
        <v>408</v>
      </c>
      <c r="I309" s="11" t="s">
        <v>25</v>
      </c>
      <c r="J309" s="11" t="s">
        <v>26</v>
      </c>
      <c r="K309" s="11"/>
      <c r="L309" s="11"/>
      <c r="M309" s="11"/>
      <c r="N309" s="54">
        <v>0</v>
      </c>
      <c r="O309" s="55">
        <f t="shared" si="4"/>
        <v>0</v>
      </c>
      <c r="P309" s="11"/>
      <c r="Q309" s="11"/>
      <c r="R309" s="11"/>
      <c r="S309" s="11"/>
      <c r="T309" s="11"/>
      <c r="U309" s="73" t="s">
        <v>477</v>
      </c>
    </row>
    <row r="310" spans="1:21" s="1" customFormat="1" ht="14.4" x14ac:dyDescent="0.3">
      <c r="A310" s="11" t="s">
        <v>478</v>
      </c>
      <c r="B310" s="11" t="s">
        <v>478</v>
      </c>
      <c r="C310" s="11" t="s">
        <v>416</v>
      </c>
      <c r="D310" s="11" t="s">
        <v>471</v>
      </c>
      <c r="E310" s="12">
        <v>1</v>
      </c>
      <c r="F310" s="11" t="s">
        <v>37</v>
      </c>
      <c r="G310" s="11" t="s">
        <v>23</v>
      </c>
      <c r="H310" s="11" t="s">
        <v>408</v>
      </c>
      <c r="I310" s="11" t="s">
        <v>25</v>
      </c>
      <c r="J310" s="11" t="s">
        <v>26</v>
      </c>
      <c r="K310" s="11" t="s">
        <v>37</v>
      </c>
      <c r="L310" s="50">
        <v>46102</v>
      </c>
      <c r="M310" s="11" t="s">
        <v>37</v>
      </c>
      <c r="N310" s="11">
        <v>0</v>
      </c>
      <c r="O310" s="55">
        <f t="shared" si="4"/>
        <v>0</v>
      </c>
      <c r="P310" s="11"/>
      <c r="Q310" s="11" t="s">
        <v>37</v>
      </c>
      <c r="R310" s="11" t="s">
        <v>37</v>
      </c>
      <c r="S310" s="11" t="s">
        <v>37</v>
      </c>
      <c r="T310" s="11" t="s">
        <v>37</v>
      </c>
      <c r="U310" s="73" t="s">
        <v>478</v>
      </c>
    </row>
    <row r="311" spans="1:21" s="1" customFormat="1" ht="39.6" x14ac:dyDescent="0.3">
      <c r="A311" s="11" t="s">
        <v>412</v>
      </c>
      <c r="B311" s="11" t="s">
        <v>1388</v>
      </c>
      <c r="C311" s="11" t="s">
        <v>470</v>
      </c>
      <c r="D311" s="11" t="s">
        <v>471</v>
      </c>
      <c r="E311" s="12">
        <v>1</v>
      </c>
      <c r="F311" s="5" t="s">
        <v>1383</v>
      </c>
      <c r="G311" s="11" t="s">
        <v>23</v>
      </c>
      <c r="H311" s="5" t="s">
        <v>580</v>
      </c>
      <c r="I311" s="11" t="s">
        <v>25</v>
      </c>
      <c r="J311" s="11" t="s">
        <v>26</v>
      </c>
      <c r="K311" s="50">
        <v>43547</v>
      </c>
      <c r="L311" s="50">
        <v>46104</v>
      </c>
      <c r="M311" s="11" t="s">
        <v>1387</v>
      </c>
      <c r="N311" s="11">
        <v>45657.02</v>
      </c>
      <c r="O311" s="55">
        <f t="shared" si="4"/>
        <v>45657.02</v>
      </c>
      <c r="P311" s="11"/>
      <c r="Q311" s="43" t="s">
        <v>1259</v>
      </c>
      <c r="R311" s="5">
        <v>9820023829</v>
      </c>
      <c r="S311" s="5" t="s">
        <v>1260</v>
      </c>
      <c r="T311" s="11" t="s">
        <v>58</v>
      </c>
      <c r="U311" s="11" t="s">
        <v>431</v>
      </c>
    </row>
    <row r="312" spans="1:21" s="1" customFormat="1" ht="14.4" x14ac:dyDescent="0.3">
      <c r="A312" s="11" t="s">
        <v>1371</v>
      </c>
      <c r="B312" s="11" t="s">
        <v>1372</v>
      </c>
      <c r="C312" s="11" t="s">
        <v>479</v>
      </c>
      <c r="D312" s="11" t="s">
        <v>471</v>
      </c>
      <c r="E312" s="12">
        <v>1</v>
      </c>
      <c r="F312" s="11" t="s">
        <v>37</v>
      </c>
      <c r="G312" s="11" t="s">
        <v>23</v>
      </c>
      <c r="H312" s="5" t="s">
        <v>580</v>
      </c>
      <c r="I312" s="11" t="s">
        <v>25</v>
      </c>
      <c r="J312" s="11" t="s">
        <v>26</v>
      </c>
      <c r="K312" s="11" t="s">
        <v>37</v>
      </c>
      <c r="L312" s="50">
        <v>46104</v>
      </c>
      <c r="M312" s="11" t="s">
        <v>37</v>
      </c>
      <c r="N312" s="11">
        <v>0</v>
      </c>
      <c r="O312" s="55">
        <f t="shared" si="4"/>
        <v>0</v>
      </c>
      <c r="P312" s="11"/>
      <c r="Q312" s="11" t="s">
        <v>37</v>
      </c>
      <c r="R312" s="11" t="s">
        <v>37</v>
      </c>
      <c r="S312" s="11" t="s">
        <v>37</v>
      </c>
      <c r="T312" s="11" t="s">
        <v>37</v>
      </c>
      <c r="U312" s="73" t="s">
        <v>456</v>
      </c>
    </row>
    <row r="313" spans="1:21" s="1" customFormat="1" ht="14.4" x14ac:dyDescent="0.3">
      <c r="A313" s="11" t="s">
        <v>518</v>
      </c>
      <c r="B313" s="5" t="s">
        <v>432</v>
      </c>
      <c r="C313" s="11" t="s">
        <v>433</v>
      </c>
      <c r="D313" s="11" t="s">
        <v>1312</v>
      </c>
      <c r="E313" s="11">
        <v>1</v>
      </c>
      <c r="F313" s="5" t="s">
        <v>1257</v>
      </c>
      <c r="G313" s="11" t="s">
        <v>23</v>
      </c>
      <c r="H313" s="5" t="s">
        <v>311</v>
      </c>
      <c r="I313" s="11" t="s">
        <v>25</v>
      </c>
      <c r="J313" s="11" t="s">
        <v>26</v>
      </c>
      <c r="K313" s="50">
        <v>45121</v>
      </c>
      <c r="L313" s="50">
        <v>46085</v>
      </c>
      <c r="M313" s="11" t="s">
        <v>1258</v>
      </c>
      <c r="N313" s="11">
        <v>4001</v>
      </c>
      <c r="O313" s="55">
        <f t="shared" si="4"/>
        <v>4001</v>
      </c>
      <c r="P313" s="11" t="s">
        <v>73</v>
      </c>
      <c r="Q313" s="43" t="s">
        <v>1259</v>
      </c>
      <c r="R313" s="5">
        <v>9820023829</v>
      </c>
      <c r="S313" s="5" t="s">
        <v>1260</v>
      </c>
      <c r="T313" s="11" t="s">
        <v>41</v>
      </c>
      <c r="U313" s="11" t="s">
        <v>37</v>
      </c>
    </row>
    <row r="314" spans="1:21" s="1" customFormat="1" ht="14.4" x14ac:dyDescent="0.3">
      <c r="A314" s="5" t="s">
        <v>475</v>
      </c>
      <c r="B314" s="5" t="s">
        <v>476</v>
      </c>
      <c r="C314" s="5" t="s">
        <v>406</v>
      </c>
      <c r="D314" s="5" t="s">
        <v>1313</v>
      </c>
      <c r="E314" s="8">
        <v>1</v>
      </c>
      <c r="F314" s="5"/>
      <c r="G314" s="5" t="s">
        <v>23</v>
      </c>
      <c r="H314" s="5" t="s">
        <v>408</v>
      </c>
      <c r="I314" s="5" t="s">
        <v>25</v>
      </c>
      <c r="J314" s="5" t="s">
        <v>26</v>
      </c>
      <c r="K314" s="59"/>
      <c r="L314" s="52"/>
      <c r="M314" s="5"/>
      <c r="N314" s="54">
        <v>0</v>
      </c>
      <c r="O314" s="55">
        <f t="shared" si="4"/>
        <v>0</v>
      </c>
      <c r="P314" s="5"/>
      <c r="Q314" s="5"/>
      <c r="R314" s="5"/>
      <c r="S314" s="5"/>
      <c r="T314" s="5"/>
      <c r="U314" s="43" t="s">
        <v>476</v>
      </c>
    </row>
    <row r="315" spans="1:21" s="1" customFormat="1" ht="14.4" x14ac:dyDescent="0.3">
      <c r="A315" s="5" t="s">
        <v>480</v>
      </c>
      <c r="B315" s="5" t="s">
        <v>481</v>
      </c>
      <c r="C315" s="5" t="s">
        <v>416</v>
      </c>
      <c r="D315" s="5" t="s">
        <v>462</v>
      </c>
      <c r="E315" s="8">
        <v>1</v>
      </c>
      <c r="F315" s="5" t="s">
        <v>37</v>
      </c>
      <c r="G315" s="5" t="s">
        <v>23</v>
      </c>
      <c r="H315" s="5" t="s">
        <v>408</v>
      </c>
      <c r="I315" s="5" t="s">
        <v>25</v>
      </c>
      <c r="J315" s="5" t="s">
        <v>26</v>
      </c>
      <c r="K315" s="5" t="s">
        <v>37</v>
      </c>
      <c r="L315" s="52">
        <v>46102</v>
      </c>
      <c r="M315" s="5" t="s">
        <v>37</v>
      </c>
      <c r="N315" s="5">
        <v>0</v>
      </c>
      <c r="O315" s="55">
        <f t="shared" si="4"/>
        <v>0</v>
      </c>
      <c r="P315" s="5"/>
      <c r="Q315" s="5" t="s">
        <v>37</v>
      </c>
      <c r="R315" s="5" t="s">
        <v>37</v>
      </c>
      <c r="S315" s="5" t="s">
        <v>37</v>
      </c>
      <c r="T315" s="5" t="s">
        <v>37</v>
      </c>
      <c r="U315" s="5" t="s">
        <v>37</v>
      </c>
    </row>
    <row r="316" spans="1:21" s="1" customFormat="1" ht="14.4" x14ac:dyDescent="0.3">
      <c r="A316" s="11" t="s">
        <v>518</v>
      </c>
      <c r="B316" s="5" t="s">
        <v>432</v>
      </c>
      <c r="C316" s="5" t="s">
        <v>433</v>
      </c>
      <c r="D316" s="5" t="s">
        <v>1313</v>
      </c>
      <c r="E316" s="5">
        <v>1</v>
      </c>
      <c r="F316" s="5" t="s">
        <v>1257</v>
      </c>
      <c r="G316" s="5" t="s">
        <v>23</v>
      </c>
      <c r="H316" s="5" t="s">
        <v>311</v>
      </c>
      <c r="I316" s="5" t="s">
        <v>25</v>
      </c>
      <c r="J316" s="5" t="s">
        <v>26</v>
      </c>
      <c r="K316" s="50">
        <v>45121</v>
      </c>
      <c r="L316" s="50">
        <v>46085</v>
      </c>
      <c r="M316" s="11" t="s">
        <v>1258</v>
      </c>
      <c r="N316" s="11">
        <v>4001</v>
      </c>
      <c r="O316" s="55">
        <f t="shared" si="4"/>
        <v>4001</v>
      </c>
      <c r="P316" s="11" t="s">
        <v>73</v>
      </c>
      <c r="Q316" s="43" t="s">
        <v>1259</v>
      </c>
      <c r="R316" s="5">
        <v>9820023829</v>
      </c>
      <c r="S316" s="5" t="s">
        <v>1260</v>
      </c>
      <c r="T316" s="11" t="s">
        <v>41</v>
      </c>
      <c r="U316" s="5" t="s">
        <v>37</v>
      </c>
    </row>
    <row r="317" spans="1:21" s="1" customFormat="1" ht="26.4" x14ac:dyDescent="0.3">
      <c r="A317" s="5" t="s">
        <v>482</v>
      </c>
      <c r="B317" s="5" t="s">
        <v>1261</v>
      </c>
      <c r="C317" s="5" t="s">
        <v>483</v>
      </c>
      <c r="D317" s="5" t="s">
        <v>1313</v>
      </c>
      <c r="E317" s="8">
        <v>4</v>
      </c>
      <c r="F317" s="5" t="s">
        <v>1257</v>
      </c>
      <c r="G317" s="5" t="s">
        <v>23</v>
      </c>
      <c r="H317" s="11" t="s">
        <v>311</v>
      </c>
      <c r="I317" s="5" t="s">
        <v>25</v>
      </c>
      <c r="J317" s="5" t="s">
        <v>26</v>
      </c>
      <c r="K317" s="52">
        <v>45121</v>
      </c>
      <c r="L317" s="52">
        <v>46085</v>
      </c>
      <c r="M317" s="5" t="s">
        <v>1258</v>
      </c>
      <c r="N317" s="5">
        <v>1169.7</v>
      </c>
      <c r="O317" s="55">
        <f t="shared" si="4"/>
        <v>4678.8</v>
      </c>
      <c r="P317" s="5"/>
      <c r="Q317" s="43" t="s">
        <v>1259</v>
      </c>
      <c r="R317" s="5">
        <v>9820023829</v>
      </c>
      <c r="S317" s="5" t="s">
        <v>1260</v>
      </c>
      <c r="T317" s="5" t="s">
        <v>41</v>
      </c>
      <c r="U317" s="5" t="s">
        <v>37</v>
      </c>
    </row>
    <row r="318" spans="1:21" s="1" customFormat="1" ht="14.4" x14ac:dyDescent="0.3">
      <c r="A318" s="11" t="s">
        <v>484</v>
      </c>
      <c r="B318" s="11" t="s">
        <v>485</v>
      </c>
      <c r="C318" s="11" t="s">
        <v>37</v>
      </c>
      <c r="D318" s="11" t="s">
        <v>486</v>
      </c>
      <c r="E318" s="12">
        <v>1</v>
      </c>
      <c r="F318" s="11"/>
      <c r="G318" s="11" t="s">
        <v>23</v>
      </c>
      <c r="H318" s="11" t="s">
        <v>24</v>
      </c>
      <c r="I318" s="11" t="s">
        <v>25</v>
      </c>
      <c r="J318" s="11" t="s">
        <v>26</v>
      </c>
      <c r="K318" s="11"/>
      <c r="L318" s="11"/>
      <c r="M318" s="11"/>
      <c r="N318" s="11"/>
      <c r="O318" s="55">
        <f t="shared" ref="O318:O380" si="5">N318*E318</f>
        <v>0</v>
      </c>
      <c r="P318" s="11"/>
      <c r="Q318" s="11"/>
      <c r="R318" s="11"/>
      <c r="S318" s="11"/>
      <c r="T318" s="11"/>
      <c r="U318" s="11" t="s">
        <v>37</v>
      </c>
    </row>
    <row r="319" spans="1:21" s="1" customFormat="1" ht="14.4" x14ac:dyDescent="0.3">
      <c r="A319" s="11" t="s">
        <v>461</v>
      </c>
      <c r="B319" s="11" t="s">
        <v>461</v>
      </c>
      <c r="C319" s="12" t="s">
        <v>436</v>
      </c>
      <c r="D319" s="12" t="s">
        <v>487</v>
      </c>
      <c r="E319" s="12">
        <v>1</v>
      </c>
      <c r="F319" s="5" t="s">
        <v>37</v>
      </c>
      <c r="G319" s="12" t="s">
        <v>23</v>
      </c>
      <c r="H319" s="8" t="s">
        <v>580</v>
      </c>
      <c r="I319" s="12" t="s">
        <v>25</v>
      </c>
      <c r="J319" s="8" t="s">
        <v>72</v>
      </c>
      <c r="K319" s="5" t="s">
        <v>37</v>
      </c>
      <c r="L319" s="13">
        <v>46102</v>
      </c>
      <c r="M319" s="5" t="s">
        <v>37</v>
      </c>
      <c r="N319" s="12">
        <v>0</v>
      </c>
      <c r="O319" s="14">
        <f t="shared" si="5"/>
        <v>0</v>
      </c>
      <c r="P319" s="12"/>
      <c r="Q319" s="5" t="s">
        <v>37</v>
      </c>
      <c r="R319" s="5" t="s">
        <v>37</v>
      </c>
      <c r="S319" s="5" t="s">
        <v>37</v>
      </c>
      <c r="T319" s="5" t="s">
        <v>37</v>
      </c>
      <c r="U319" s="12" t="s">
        <v>37</v>
      </c>
    </row>
    <row r="320" spans="1:21" s="1" customFormat="1" ht="14.4" x14ac:dyDescent="0.3">
      <c r="A320" s="11" t="s">
        <v>518</v>
      </c>
      <c r="B320" s="5" t="s">
        <v>431</v>
      </c>
      <c r="C320" s="5" t="s">
        <v>433</v>
      </c>
      <c r="D320" s="5" t="s">
        <v>487</v>
      </c>
      <c r="E320" s="5">
        <v>2</v>
      </c>
      <c r="F320" s="5" t="s">
        <v>1257</v>
      </c>
      <c r="G320" s="5" t="s">
        <v>23</v>
      </c>
      <c r="H320" s="5" t="s">
        <v>311</v>
      </c>
      <c r="I320" s="5" t="s">
        <v>25</v>
      </c>
      <c r="J320" s="5" t="s">
        <v>26</v>
      </c>
      <c r="K320" s="50">
        <v>45121</v>
      </c>
      <c r="L320" s="50">
        <v>46085</v>
      </c>
      <c r="M320" s="11" t="s">
        <v>1258</v>
      </c>
      <c r="N320" s="11">
        <v>4001</v>
      </c>
      <c r="O320" s="55">
        <f t="shared" si="5"/>
        <v>8002</v>
      </c>
      <c r="P320" s="11" t="s">
        <v>73</v>
      </c>
      <c r="Q320" s="43" t="s">
        <v>1259</v>
      </c>
      <c r="R320" s="5">
        <v>9820023829</v>
      </c>
      <c r="S320" s="5" t="s">
        <v>1260</v>
      </c>
      <c r="T320" s="11" t="s">
        <v>41</v>
      </c>
      <c r="U320" s="5" t="s">
        <v>37</v>
      </c>
    </row>
    <row r="321" spans="1:21" s="1" customFormat="1" ht="26.4" x14ac:dyDescent="0.3">
      <c r="A321" s="5" t="s">
        <v>482</v>
      </c>
      <c r="B321" s="5" t="s">
        <v>1261</v>
      </c>
      <c r="C321" s="5" t="s">
        <v>483</v>
      </c>
      <c r="D321" s="5" t="s">
        <v>487</v>
      </c>
      <c r="E321" s="8">
        <v>10</v>
      </c>
      <c r="F321" s="5" t="s">
        <v>1257</v>
      </c>
      <c r="G321" s="5" t="s">
        <v>23</v>
      </c>
      <c r="H321" s="11" t="s">
        <v>311</v>
      </c>
      <c r="I321" s="5" t="s">
        <v>25</v>
      </c>
      <c r="J321" s="5" t="s">
        <v>26</v>
      </c>
      <c r="K321" s="52">
        <v>45121</v>
      </c>
      <c r="L321" s="52">
        <v>46085</v>
      </c>
      <c r="M321" s="5" t="s">
        <v>1258</v>
      </c>
      <c r="N321" s="5">
        <v>1169.7</v>
      </c>
      <c r="O321" s="55">
        <f t="shared" si="5"/>
        <v>11697</v>
      </c>
      <c r="P321" s="5"/>
      <c r="Q321" s="43" t="s">
        <v>1259</v>
      </c>
      <c r="R321" s="5">
        <v>9820023829</v>
      </c>
      <c r="S321" s="5" t="s">
        <v>1260</v>
      </c>
      <c r="T321" s="5" t="s">
        <v>41</v>
      </c>
      <c r="U321" s="5" t="s">
        <v>37</v>
      </c>
    </row>
    <row r="322" spans="1:21" s="1" customFormat="1" ht="14.4" x14ac:dyDescent="0.3">
      <c r="A322" s="11" t="s">
        <v>484</v>
      </c>
      <c r="B322" s="11" t="s">
        <v>489</v>
      </c>
      <c r="C322" s="11" t="s">
        <v>37</v>
      </c>
      <c r="D322" s="11" t="s">
        <v>486</v>
      </c>
      <c r="E322" s="12">
        <v>1</v>
      </c>
      <c r="F322" s="11"/>
      <c r="G322" s="11" t="s">
        <v>23</v>
      </c>
      <c r="H322" s="11" t="s">
        <v>24</v>
      </c>
      <c r="I322" s="11" t="s">
        <v>25</v>
      </c>
      <c r="J322" s="11" t="s">
        <v>26</v>
      </c>
      <c r="K322" s="11"/>
      <c r="L322" s="11"/>
      <c r="M322" s="11"/>
      <c r="N322" s="11"/>
      <c r="O322" s="55">
        <f t="shared" si="5"/>
        <v>0</v>
      </c>
      <c r="P322" s="11"/>
      <c r="Q322" s="11"/>
      <c r="R322" s="11"/>
      <c r="S322" s="11"/>
      <c r="T322" s="11"/>
      <c r="U322" s="11" t="s">
        <v>37</v>
      </c>
    </row>
    <row r="323" spans="1:21" s="1" customFormat="1" ht="14.4" x14ac:dyDescent="0.3">
      <c r="A323" s="11" t="s">
        <v>1374</v>
      </c>
      <c r="B323" s="11" t="s">
        <v>490</v>
      </c>
      <c r="C323" s="12" t="s">
        <v>37</v>
      </c>
      <c r="D323" s="11" t="s">
        <v>486</v>
      </c>
      <c r="E323" s="12">
        <v>2</v>
      </c>
      <c r="F323" s="11"/>
      <c r="G323" s="12" t="s">
        <v>23</v>
      </c>
      <c r="H323" s="12" t="s">
        <v>24</v>
      </c>
      <c r="I323" s="12" t="s">
        <v>25</v>
      </c>
      <c r="J323" s="12" t="s">
        <v>488</v>
      </c>
      <c r="K323" s="12"/>
      <c r="L323" s="12"/>
      <c r="M323" s="12"/>
      <c r="N323" s="12"/>
      <c r="O323" s="14">
        <f t="shared" si="5"/>
        <v>0</v>
      </c>
      <c r="P323" s="12"/>
      <c r="Q323" s="12"/>
      <c r="R323" s="12"/>
      <c r="S323" s="12"/>
      <c r="T323" s="12"/>
      <c r="U323" s="12" t="s">
        <v>37</v>
      </c>
    </row>
    <row r="324" spans="1:21" s="1" customFormat="1" ht="14.4" x14ac:dyDescent="0.3">
      <c r="A324" s="11" t="s">
        <v>484</v>
      </c>
      <c r="B324" s="11" t="s">
        <v>491</v>
      </c>
      <c r="C324" s="11" t="s">
        <v>492</v>
      </c>
      <c r="D324" s="11" t="s">
        <v>486</v>
      </c>
      <c r="E324" s="11">
        <v>2</v>
      </c>
      <c r="F324" s="5" t="s">
        <v>493</v>
      </c>
      <c r="G324" s="11" t="s">
        <v>23</v>
      </c>
      <c r="H324" s="5" t="s">
        <v>580</v>
      </c>
      <c r="I324" s="11" t="s">
        <v>25</v>
      </c>
      <c r="J324" s="11" t="s">
        <v>26</v>
      </c>
      <c r="K324" s="59">
        <v>43033</v>
      </c>
      <c r="L324" s="50">
        <v>46045</v>
      </c>
      <c r="M324" s="5" t="s">
        <v>494</v>
      </c>
      <c r="N324" s="55">
        <v>135535.88888888888</v>
      </c>
      <c r="O324" s="55">
        <f t="shared" si="5"/>
        <v>271071.77777777775</v>
      </c>
      <c r="P324" s="11" t="s">
        <v>73</v>
      </c>
      <c r="Q324" s="11" t="s">
        <v>37</v>
      </c>
      <c r="R324" s="11" t="s">
        <v>37</v>
      </c>
      <c r="S324" s="11" t="s">
        <v>37</v>
      </c>
      <c r="T324" s="11" t="s">
        <v>397</v>
      </c>
      <c r="U324" s="11" t="s">
        <v>37</v>
      </c>
    </row>
    <row r="325" spans="1:21" s="1" customFormat="1" ht="26.4" x14ac:dyDescent="0.3">
      <c r="A325" s="5" t="s">
        <v>1060</v>
      </c>
      <c r="B325" s="5" t="s">
        <v>496</v>
      </c>
      <c r="C325" s="11" t="s">
        <v>497</v>
      </c>
      <c r="D325" s="11" t="s">
        <v>1202</v>
      </c>
      <c r="E325" s="11">
        <v>1</v>
      </c>
      <c r="F325" s="5" t="s">
        <v>425</v>
      </c>
      <c r="G325" s="11" t="s">
        <v>23</v>
      </c>
      <c r="H325" s="11" t="s">
        <v>426</v>
      </c>
      <c r="I325" s="11" t="s">
        <v>25</v>
      </c>
      <c r="J325" s="11" t="s">
        <v>26</v>
      </c>
      <c r="K325" s="52">
        <v>45495</v>
      </c>
      <c r="L325" s="50">
        <v>46041</v>
      </c>
      <c r="M325" s="5" t="s">
        <v>498</v>
      </c>
      <c r="N325" s="11">
        <v>52100</v>
      </c>
      <c r="O325" s="55">
        <f t="shared" si="5"/>
        <v>52100</v>
      </c>
      <c r="P325" s="11" t="s">
        <v>73</v>
      </c>
      <c r="Q325" s="43" t="s">
        <v>428</v>
      </c>
      <c r="R325" s="5" t="s">
        <v>429</v>
      </c>
      <c r="S325" s="5" t="s">
        <v>430</v>
      </c>
      <c r="T325" s="5" t="s">
        <v>942</v>
      </c>
      <c r="U325" s="73" t="s">
        <v>499</v>
      </c>
    </row>
    <row r="326" spans="1:21" s="1" customFormat="1" ht="26.4" x14ac:dyDescent="0.3">
      <c r="A326" s="11" t="s">
        <v>500</v>
      </c>
      <c r="B326" s="11" t="s">
        <v>501</v>
      </c>
      <c r="C326" s="11" t="s">
        <v>502</v>
      </c>
      <c r="D326" s="11" t="s">
        <v>1202</v>
      </c>
      <c r="E326" s="11">
        <v>1</v>
      </c>
      <c r="F326" s="5" t="s">
        <v>425</v>
      </c>
      <c r="G326" s="11" t="s">
        <v>23</v>
      </c>
      <c r="H326" s="11" t="s">
        <v>426</v>
      </c>
      <c r="I326" s="11" t="s">
        <v>25</v>
      </c>
      <c r="J326" s="11" t="s">
        <v>26</v>
      </c>
      <c r="K326" s="52">
        <v>45191</v>
      </c>
      <c r="L326" s="50">
        <v>46032</v>
      </c>
      <c r="M326" s="5" t="s">
        <v>503</v>
      </c>
      <c r="N326" s="11">
        <v>13516</v>
      </c>
      <c r="O326" s="55">
        <f t="shared" si="5"/>
        <v>13516</v>
      </c>
      <c r="P326" s="5" t="s">
        <v>73</v>
      </c>
      <c r="Q326" s="5" t="s">
        <v>428</v>
      </c>
      <c r="R326" s="5" t="s">
        <v>429</v>
      </c>
      <c r="S326" s="5" t="s">
        <v>430</v>
      </c>
      <c r="T326" s="5" t="s">
        <v>41</v>
      </c>
      <c r="U326" s="73" t="s">
        <v>504</v>
      </c>
    </row>
    <row r="327" spans="1:21" s="1" customFormat="1" ht="26.4" x14ac:dyDescent="0.3">
      <c r="A327" s="11" t="s">
        <v>505</v>
      </c>
      <c r="B327" s="5" t="s">
        <v>1094</v>
      </c>
      <c r="C327" s="11" t="s">
        <v>446</v>
      </c>
      <c r="D327" s="5" t="s">
        <v>22</v>
      </c>
      <c r="E327" s="11">
        <v>1</v>
      </c>
      <c r="F327" s="5" t="s">
        <v>425</v>
      </c>
      <c r="G327" s="11" t="s">
        <v>23</v>
      </c>
      <c r="H327" s="11" t="s">
        <v>426</v>
      </c>
      <c r="I327" s="11" t="s">
        <v>25</v>
      </c>
      <c r="J327" s="11" t="s">
        <v>26</v>
      </c>
      <c r="K327" s="52">
        <v>45512</v>
      </c>
      <c r="L327" s="50">
        <v>46215</v>
      </c>
      <c r="M327" s="5" t="s">
        <v>1093</v>
      </c>
      <c r="N327" s="5">
        <v>5600</v>
      </c>
      <c r="O327" s="55">
        <f t="shared" si="5"/>
        <v>5600</v>
      </c>
      <c r="P327" s="11" t="s">
        <v>73</v>
      </c>
      <c r="Q327" s="43" t="s">
        <v>428</v>
      </c>
      <c r="R327" s="5" t="s">
        <v>429</v>
      </c>
      <c r="S327" s="5" t="s">
        <v>430</v>
      </c>
      <c r="T327" s="5" t="s">
        <v>41</v>
      </c>
      <c r="U327" s="73" t="s">
        <v>506</v>
      </c>
    </row>
    <row r="328" spans="1:21" s="1" customFormat="1" ht="26.4" x14ac:dyDescent="0.3">
      <c r="A328" s="11" t="s">
        <v>505</v>
      </c>
      <c r="B328" s="5" t="s">
        <v>1095</v>
      </c>
      <c r="C328" s="11" t="s">
        <v>446</v>
      </c>
      <c r="D328" s="11" t="s">
        <v>556</v>
      </c>
      <c r="E328" s="11">
        <v>1</v>
      </c>
      <c r="F328" s="5" t="s">
        <v>425</v>
      </c>
      <c r="G328" s="11" t="s">
        <v>23</v>
      </c>
      <c r="H328" s="11" t="s">
        <v>426</v>
      </c>
      <c r="I328" s="11" t="s">
        <v>25</v>
      </c>
      <c r="J328" s="11" t="s">
        <v>26</v>
      </c>
      <c r="K328" s="52">
        <v>45512</v>
      </c>
      <c r="L328" s="50">
        <v>46215</v>
      </c>
      <c r="M328" s="5" t="s">
        <v>1093</v>
      </c>
      <c r="N328" s="5">
        <v>5600</v>
      </c>
      <c r="O328" s="55">
        <f t="shared" si="5"/>
        <v>5600</v>
      </c>
      <c r="P328" s="11" t="s">
        <v>50</v>
      </c>
      <c r="Q328" s="43" t="s">
        <v>428</v>
      </c>
      <c r="R328" s="5" t="s">
        <v>429</v>
      </c>
      <c r="S328" s="5" t="s">
        <v>430</v>
      </c>
      <c r="T328" s="5" t="s">
        <v>41</v>
      </c>
      <c r="U328" s="73" t="s">
        <v>506</v>
      </c>
    </row>
    <row r="329" spans="1:21" s="1" customFormat="1" ht="26.4" x14ac:dyDescent="0.3">
      <c r="A329" s="11" t="s">
        <v>505</v>
      </c>
      <c r="B329" s="5" t="s">
        <v>1096</v>
      </c>
      <c r="C329" s="11" t="s">
        <v>446</v>
      </c>
      <c r="D329" s="11" t="s">
        <v>1202</v>
      </c>
      <c r="E329" s="11">
        <v>1</v>
      </c>
      <c r="F329" s="5" t="s">
        <v>425</v>
      </c>
      <c r="G329" s="11" t="s">
        <v>23</v>
      </c>
      <c r="H329" s="11" t="s">
        <v>426</v>
      </c>
      <c r="I329" s="11" t="s">
        <v>25</v>
      </c>
      <c r="J329" s="11" t="s">
        <v>26</v>
      </c>
      <c r="K329" s="52">
        <v>45512</v>
      </c>
      <c r="L329" s="50">
        <v>46215</v>
      </c>
      <c r="M329" s="5" t="s">
        <v>1093</v>
      </c>
      <c r="N329" s="5">
        <v>5600</v>
      </c>
      <c r="O329" s="55">
        <f t="shared" si="5"/>
        <v>5600</v>
      </c>
      <c r="P329" s="11" t="s">
        <v>73</v>
      </c>
      <c r="Q329" s="43" t="s">
        <v>428</v>
      </c>
      <c r="R329" s="5" t="s">
        <v>429</v>
      </c>
      <c r="S329" s="5" t="s">
        <v>430</v>
      </c>
      <c r="T329" s="5" t="s">
        <v>41</v>
      </c>
      <c r="U329" s="73" t="s">
        <v>506</v>
      </c>
    </row>
    <row r="330" spans="1:21" s="1" customFormat="1" ht="14.4" x14ac:dyDescent="0.3">
      <c r="A330" s="11" t="s">
        <v>412</v>
      </c>
      <c r="B330" s="11" t="s">
        <v>507</v>
      </c>
      <c r="C330" s="11" t="s">
        <v>413</v>
      </c>
      <c r="D330" s="11" t="s">
        <v>1202</v>
      </c>
      <c r="E330" s="11">
        <v>1</v>
      </c>
      <c r="F330" s="11" t="s">
        <v>37</v>
      </c>
      <c r="G330" s="11" t="s">
        <v>23</v>
      </c>
      <c r="H330" s="5" t="s">
        <v>580</v>
      </c>
      <c r="I330" s="11" t="s">
        <v>25</v>
      </c>
      <c r="J330" s="11" t="s">
        <v>26</v>
      </c>
      <c r="K330" s="11" t="s">
        <v>37</v>
      </c>
      <c r="L330" s="50">
        <v>46104</v>
      </c>
      <c r="M330" s="11" t="s">
        <v>37</v>
      </c>
      <c r="N330" s="11">
        <v>0</v>
      </c>
      <c r="O330" s="55">
        <f t="shared" si="5"/>
        <v>0</v>
      </c>
      <c r="P330" s="11" t="s">
        <v>37</v>
      </c>
      <c r="Q330" s="11" t="s">
        <v>37</v>
      </c>
      <c r="R330" s="11" t="s">
        <v>37</v>
      </c>
      <c r="S330" s="11" t="s">
        <v>37</v>
      </c>
      <c r="T330" s="11" t="s">
        <v>37</v>
      </c>
      <c r="U330" s="73" t="s">
        <v>507</v>
      </c>
    </row>
    <row r="331" spans="1:21" s="1" customFormat="1" ht="14.4" x14ac:dyDescent="0.3">
      <c r="A331" s="11" t="s">
        <v>508</v>
      </c>
      <c r="B331" s="11" t="s">
        <v>509</v>
      </c>
      <c r="C331" s="11" t="s">
        <v>406</v>
      </c>
      <c r="D331" s="11" t="s">
        <v>1202</v>
      </c>
      <c r="E331" s="12">
        <v>1</v>
      </c>
      <c r="F331" s="28" t="s">
        <v>513</v>
      </c>
      <c r="G331" s="11" t="s">
        <v>23</v>
      </c>
      <c r="H331" s="11" t="s">
        <v>408</v>
      </c>
      <c r="I331" s="11" t="s">
        <v>25</v>
      </c>
      <c r="J331" s="11" t="s">
        <v>26</v>
      </c>
      <c r="K331" s="85">
        <v>44968</v>
      </c>
      <c r="L331" s="50">
        <v>46106</v>
      </c>
      <c r="M331" s="28" t="s">
        <v>514</v>
      </c>
      <c r="N331" s="28">
        <f>8450+1521</f>
        <v>9971</v>
      </c>
      <c r="O331" s="55">
        <f t="shared" si="5"/>
        <v>9971</v>
      </c>
      <c r="P331" s="11"/>
      <c r="Q331" s="78" t="s">
        <v>409</v>
      </c>
      <c r="R331" s="26">
        <v>9930806009</v>
      </c>
      <c r="S331" s="26" t="s">
        <v>515</v>
      </c>
      <c r="T331" s="5" t="s">
        <v>41</v>
      </c>
      <c r="U331" s="73" t="s">
        <v>508</v>
      </c>
    </row>
    <row r="332" spans="1:21" s="1" customFormat="1" ht="26.4" x14ac:dyDescent="0.3">
      <c r="A332" s="11" t="s">
        <v>1205</v>
      </c>
      <c r="B332" s="11" t="s">
        <v>511</v>
      </c>
      <c r="C332" s="5" t="s">
        <v>512</v>
      </c>
      <c r="D332" s="11" t="s">
        <v>1202</v>
      </c>
      <c r="E332" s="11">
        <v>1</v>
      </c>
      <c r="F332" s="28" t="s">
        <v>513</v>
      </c>
      <c r="G332" s="11" t="s">
        <v>23</v>
      </c>
      <c r="H332" s="11" t="s">
        <v>408</v>
      </c>
      <c r="I332" s="11" t="s">
        <v>25</v>
      </c>
      <c r="J332" s="11" t="s">
        <v>26</v>
      </c>
      <c r="K332" s="85">
        <v>44968</v>
      </c>
      <c r="L332" s="85">
        <v>46032</v>
      </c>
      <c r="M332" s="28" t="s">
        <v>514</v>
      </c>
      <c r="N332" s="11">
        <v>8201</v>
      </c>
      <c r="O332" s="55">
        <f t="shared" si="5"/>
        <v>8201</v>
      </c>
      <c r="P332" s="11" t="s">
        <v>50</v>
      </c>
      <c r="Q332" s="78" t="s">
        <v>409</v>
      </c>
      <c r="R332" s="26">
        <v>9930806009</v>
      </c>
      <c r="S332" s="26" t="s">
        <v>515</v>
      </c>
      <c r="T332" s="5" t="s">
        <v>41</v>
      </c>
      <c r="U332" s="73" t="s">
        <v>510</v>
      </c>
    </row>
    <row r="333" spans="1:21" s="1" customFormat="1" ht="14.4" x14ac:dyDescent="0.3">
      <c r="A333" s="5" t="s">
        <v>516</v>
      </c>
      <c r="B333" s="11" t="s">
        <v>517</v>
      </c>
      <c r="C333" s="11" t="s">
        <v>406</v>
      </c>
      <c r="D333" s="11" t="s">
        <v>1202</v>
      </c>
      <c r="E333" s="11">
        <v>3</v>
      </c>
      <c r="F333" s="28" t="s">
        <v>513</v>
      </c>
      <c r="G333" s="11" t="s">
        <v>23</v>
      </c>
      <c r="H333" s="11" t="s">
        <v>408</v>
      </c>
      <c r="I333" s="11" t="s">
        <v>25</v>
      </c>
      <c r="J333" s="11" t="s">
        <v>26</v>
      </c>
      <c r="K333" s="85">
        <v>44968</v>
      </c>
      <c r="L333" s="85">
        <v>46032</v>
      </c>
      <c r="M333" s="28" t="s">
        <v>514</v>
      </c>
      <c r="N333" s="11">
        <v>7611</v>
      </c>
      <c r="O333" s="55">
        <f t="shared" si="5"/>
        <v>22833</v>
      </c>
      <c r="P333" s="11" t="s">
        <v>73</v>
      </c>
      <c r="Q333" s="78" t="s">
        <v>409</v>
      </c>
      <c r="R333" s="26">
        <v>9930806009</v>
      </c>
      <c r="S333" s="26" t="s">
        <v>515</v>
      </c>
      <c r="T333" s="5" t="s">
        <v>41</v>
      </c>
      <c r="U333" s="43" t="s">
        <v>516</v>
      </c>
    </row>
    <row r="334" spans="1:21" s="1" customFormat="1" ht="14.4" x14ac:dyDescent="0.3">
      <c r="A334" s="11" t="s">
        <v>518</v>
      </c>
      <c r="B334" s="5" t="s">
        <v>432</v>
      </c>
      <c r="C334" s="11" t="s">
        <v>433</v>
      </c>
      <c r="D334" s="11" t="s">
        <v>1202</v>
      </c>
      <c r="E334" s="11">
        <v>1</v>
      </c>
      <c r="F334" s="5" t="s">
        <v>1257</v>
      </c>
      <c r="G334" s="11" t="s">
        <v>23</v>
      </c>
      <c r="H334" s="5" t="s">
        <v>311</v>
      </c>
      <c r="I334" s="11" t="s">
        <v>25</v>
      </c>
      <c r="J334" s="11" t="s">
        <v>26</v>
      </c>
      <c r="K334" s="50">
        <v>45121</v>
      </c>
      <c r="L334" s="50">
        <v>46085</v>
      </c>
      <c r="M334" s="11" t="s">
        <v>1258</v>
      </c>
      <c r="N334" s="11">
        <v>4001</v>
      </c>
      <c r="O334" s="55">
        <f t="shared" si="5"/>
        <v>4001</v>
      </c>
      <c r="P334" s="11" t="s">
        <v>73</v>
      </c>
      <c r="Q334" s="43" t="s">
        <v>1259</v>
      </c>
      <c r="R334" s="5">
        <v>9820023829</v>
      </c>
      <c r="S334" s="5" t="s">
        <v>1260</v>
      </c>
      <c r="T334" s="11" t="s">
        <v>41</v>
      </c>
      <c r="U334" s="73" t="s">
        <v>518</v>
      </c>
    </row>
    <row r="335" spans="1:21" s="1" customFormat="1" ht="26.4" x14ac:dyDescent="0.3">
      <c r="A335" s="11" t="s">
        <v>519</v>
      </c>
      <c r="B335" s="5" t="s">
        <v>520</v>
      </c>
      <c r="C335" s="11" t="s">
        <v>502</v>
      </c>
      <c r="D335" s="11" t="s">
        <v>1207</v>
      </c>
      <c r="E335" s="11">
        <v>1</v>
      </c>
      <c r="F335" s="5" t="s">
        <v>521</v>
      </c>
      <c r="G335" s="11" t="s">
        <v>23</v>
      </c>
      <c r="H335" s="11" t="s">
        <v>426</v>
      </c>
      <c r="I335" s="11" t="s">
        <v>25</v>
      </c>
      <c r="J335" s="11" t="s">
        <v>26</v>
      </c>
      <c r="K335" s="52">
        <v>45151</v>
      </c>
      <c r="L335" s="50">
        <v>46070</v>
      </c>
      <c r="M335" s="11">
        <v>104</v>
      </c>
      <c r="N335" s="11">
        <v>50000</v>
      </c>
      <c r="O335" s="55">
        <f t="shared" si="5"/>
        <v>50000</v>
      </c>
      <c r="P335" s="11" t="s">
        <v>73</v>
      </c>
      <c r="Q335" s="43" t="s">
        <v>522</v>
      </c>
      <c r="R335" s="5">
        <v>9324349923</v>
      </c>
      <c r="S335" s="5" t="s">
        <v>523</v>
      </c>
      <c r="T335" s="5" t="s">
        <v>37</v>
      </c>
      <c r="U335" s="73" t="s">
        <v>519</v>
      </c>
    </row>
    <row r="336" spans="1:21" s="1" customFormat="1" ht="26.4" x14ac:dyDescent="0.3">
      <c r="A336" s="11" t="s">
        <v>500</v>
      </c>
      <c r="B336" s="11" t="s">
        <v>524</v>
      </c>
      <c r="C336" s="11" t="s">
        <v>502</v>
      </c>
      <c r="D336" s="11" t="s">
        <v>1207</v>
      </c>
      <c r="E336" s="11">
        <v>1</v>
      </c>
      <c r="F336" s="5" t="s">
        <v>531</v>
      </c>
      <c r="G336" s="11" t="s">
        <v>23</v>
      </c>
      <c r="H336" s="11" t="s">
        <v>426</v>
      </c>
      <c r="I336" s="11" t="s">
        <v>25</v>
      </c>
      <c r="J336" s="11" t="s">
        <v>26</v>
      </c>
      <c r="K336" s="50">
        <v>40999</v>
      </c>
      <c r="L336" s="50">
        <v>46065</v>
      </c>
      <c r="M336" s="11">
        <v>3172</v>
      </c>
      <c r="N336" s="11">
        <v>22570</v>
      </c>
      <c r="O336" s="55">
        <f t="shared" si="5"/>
        <v>22570</v>
      </c>
      <c r="P336" s="5" t="s">
        <v>73</v>
      </c>
      <c r="Q336" s="5" t="s">
        <v>37</v>
      </c>
      <c r="R336" s="5" t="s">
        <v>37</v>
      </c>
      <c r="S336" s="5" t="s">
        <v>525</v>
      </c>
      <c r="T336" s="11" t="s">
        <v>965</v>
      </c>
      <c r="U336" s="73" t="s">
        <v>504</v>
      </c>
    </row>
    <row r="337" spans="1:21" s="1" customFormat="1" ht="26.4" x14ac:dyDescent="0.3">
      <c r="A337" s="11" t="s">
        <v>510</v>
      </c>
      <c r="B337" s="11" t="s">
        <v>511</v>
      </c>
      <c r="C337" s="11" t="s">
        <v>512</v>
      </c>
      <c r="D337" s="11" t="s">
        <v>1207</v>
      </c>
      <c r="E337" s="11">
        <v>1</v>
      </c>
      <c r="F337" s="28" t="s">
        <v>513</v>
      </c>
      <c r="G337" s="11" t="s">
        <v>23</v>
      </c>
      <c r="H337" s="11" t="s">
        <v>408</v>
      </c>
      <c r="I337" s="11" t="s">
        <v>25</v>
      </c>
      <c r="J337" s="11" t="s">
        <v>26</v>
      </c>
      <c r="K337" s="52">
        <v>44968</v>
      </c>
      <c r="L337" s="85">
        <v>46032</v>
      </c>
      <c r="M337" s="28" t="s">
        <v>514</v>
      </c>
      <c r="N337" s="11">
        <v>8201</v>
      </c>
      <c r="O337" s="55">
        <f t="shared" si="5"/>
        <v>8201</v>
      </c>
      <c r="P337" s="11" t="s">
        <v>50</v>
      </c>
      <c r="Q337" s="43" t="s">
        <v>409</v>
      </c>
      <c r="R337" s="5">
        <v>9930806009</v>
      </c>
      <c r="S337" s="5" t="s">
        <v>515</v>
      </c>
      <c r="T337" s="5" t="s">
        <v>41</v>
      </c>
      <c r="U337" s="73" t="s">
        <v>510</v>
      </c>
    </row>
    <row r="338" spans="1:21" s="1" customFormat="1" ht="26.4" x14ac:dyDescent="0.3">
      <c r="A338" s="11" t="s">
        <v>516</v>
      </c>
      <c r="B338" s="28" t="s">
        <v>517</v>
      </c>
      <c r="C338" s="11" t="s">
        <v>526</v>
      </c>
      <c r="D338" s="11" t="s">
        <v>1207</v>
      </c>
      <c r="E338" s="11">
        <v>4</v>
      </c>
      <c r="F338" s="28" t="s">
        <v>513</v>
      </c>
      <c r="G338" s="11" t="s">
        <v>23</v>
      </c>
      <c r="H338" s="11" t="s">
        <v>408</v>
      </c>
      <c r="I338" s="11" t="s">
        <v>25</v>
      </c>
      <c r="J338" s="11" t="s">
        <v>26</v>
      </c>
      <c r="K338" s="52">
        <v>44968</v>
      </c>
      <c r="L338" s="85">
        <v>46032</v>
      </c>
      <c r="M338" s="28" t="s">
        <v>514</v>
      </c>
      <c r="N338" s="11">
        <v>7611</v>
      </c>
      <c r="O338" s="55">
        <f t="shared" si="5"/>
        <v>30444</v>
      </c>
      <c r="P338" s="11" t="s">
        <v>73</v>
      </c>
      <c r="Q338" s="43" t="s">
        <v>409</v>
      </c>
      <c r="R338" s="5">
        <v>9930806009</v>
      </c>
      <c r="S338" s="5" t="s">
        <v>515</v>
      </c>
      <c r="T338" s="5" t="s">
        <v>41</v>
      </c>
      <c r="U338" s="73" t="s">
        <v>516</v>
      </c>
    </row>
    <row r="339" spans="1:21" s="1" customFormat="1" ht="26.4" x14ac:dyDescent="0.3">
      <c r="A339" s="11" t="s">
        <v>508</v>
      </c>
      <c r="B339" s="11" t="s">
        <v>527</v>
      </c>
      <c r="C339" s="11" t="s">
        <v>526</v>
      </c>
      <c r="D339" s="11" t="s">
        <v>1207</v>
      </c>
      <c r="E339" s="12">
        <v>1</v>
      </c>
      <c r="F339" s="28" t="s">
        <v>513</v>
      </c>
      <c r="G339" s="11" t="s">
        <v>23</v>
      </c>
      <c r="H339" s="11" t="s">
        <v>408</v>
      </c>
      <c r="I339" s="11" t="s">
        <v>25</v>
      </c>
      <c r="J339" s="11" t="s">
        <v>26</v>
      </c>
      <c r="K339" s="85">
        <v>44968</v>
      </c>
      <c r="L339" s="50">
        <v>46106</v>
      </c>
      <c r="M339" s="28" t="s">
        <v>514</v>
      </c>
      <c r="N339" s="28">
        <f>8450+1521</f>
        <v>9971</v>
      </c>
      <c r="O339" s="55">
        <f t="shared" si="5"/>
        <v>9971</v>
      </c>
      <c r="P339" s="11"/>
      <c r="Q339" s="78" t="s">
        <v>409</v>
      </c>
      <c r="R339" s="26">
        <v>9930806009</v>
      </c>
      <c r="S339" s="26" t="s">
        <v>515</v>
      </c>
      <c r="T339" s="5" t="s">
        <v>41</v>
      </c>
      <c r="U339" s="73" t="s">
        <v>508</v>
      </c>
    </row>
    <row r="340" spans="1:21" s="1" customFormat="1" ht="26.4" x14ac:dyDescent="0.3">
      <c r="A340" s="11" t="s">
        <v>412</v>
      </c>
      <c r="B340" s="11" t="s">
        <v>507</v>
      </c>
      <c r="C340" s="11" t="s">
        <v>413</v>
      </c>
      <c r="D340" s="11" t="s">
        <v>1207</v>
      </c>
      <c r="E340" s="11">
        <v>1</v>
      </c>
      <c r="F340" s="11" t="s">
        <v>37</v>
      </c>
      <c r="G340" s="11" t="s">
        <v>23</v>
      </c>
      <c r="H340" s="5" t="s">
        <v>580</v>
      </c>
      <c r="I340" s="11" t="s">
        <v>25</v>
      </c>
      <c r="J340" s="11" t="s">
        <v>26</v>
      </c>
      <c r="K340" s="85">
        <v>44968</v>
      </c>
      <c r="L340" s="50">
        <v>46104</v>
      </c>
      <c r="M340" s="11" t="s">
        <v>37</v>
      </c>
      <c r="N340" s="11">
        <v>0</v>
      </c>
      <c r="O340" s="55">
        <f t="shared" si="5"/>
        <v>0</v>
      </c>
      <c r="P340" s="11" t="s">
        <v>37</v>
      </c>
      <c r="Q340" s="78" t="s">
        <v>409</v>
      </c>
      <c r="R340" s="26">
        <v>9930806009</v>
      </c>
      <c r="S340" s="26" t="s">
        <v>515</v>
      </c>
      <c r="T340" s="5" t="s">
        <v>41</v>
      </c>
      <c r="U340" s="73" t="s">
        <v>412</v>
      </c>
    </row>
    <row r="341" spans="1:21" s="1" customFormat="1" ht="26.4" x14ac:dyDescent="0.3">
      <c r="A341" s="11" t="s">
        <v>518</v>
      </c>
      <c r="B341" s="5" t="s">
        <v>432</v>
      </c>
      <c r="C341" s="11" t="s">
        <v>433</v>
      </c>
      <c r="D341" s="11" t="s">
        <v>1207</v>
      </c>
      <c r="E341" s="11">
        <v>1</v>
      </c>
      <c r="F341" s="5" t="s">
        <v>1257</v>
      </c>
      <c r="G341" s="11" t="s">
        <v>23</v>
      </c>
      <c r="H341" s="5" t="s">
        <v>311</v>
      </c>
      <c r="I341" s="11" t="s">
        <v>25</v>
      </c>
      <c r="J341" s="11" t="s">
        <v>26</v>
      </c>
      <c r="K341" s="85">
        <v>44968</v>
      </c>
      <c r="L341" s="50">
        <v>46085</v>
      </c>
      <c r="M341" s="11" t="s">
        <v>1258</v>
      </c>
      <c r="N341" s="11">
        <v>4001</v>
      </c>
      <c r="O341" s="55">
        <f t="shared" si="5"/>
        <v>4001</v>
      </c>
      <c r="P341" s="11" t="s">
        <v>73</v>
      </c>
      <c r="Q341" s="78" t="s">
        <v>409</v>
      </c>
      <c r="R341" s="26">
        <v>9930806009</v>
      </c>
      <c r="S341" s="26" t="s">
        <v>515</v>
      </c>
      <c r="T341" s="5" t="s">
        <v>41</v>
      </c>
      <c r="U341" s="73" t="s">
        <v>431</v>
      </c>
    </row>
    <row r="342" spans="1:21" s="1" customFormat="1" ht="26.4" x14ac:dyDescent="0.3">
      <c r="A342" s="11" t="s">
        <v>528</v>
      </c>
      <c r="B342" s="11" t="s">
        <v>528</v>
      </c>
      <c r="C342" s="5" t="s">
        <v>37</v>
      </c>
      <c r="D342" s="11" t="s">
        <v>1207</v>
      </c>
      <c r="E342" s="12">
        <v>1</v>
      </c>
      <c r="F342" s="5" t="s">
        <v>37</v>
      </c>
      <c r="G342" s="11" t="s">
        <v>23</v>
      </c>
      <c r="H342" s="11" t="s">
        <v>408</v>
      </c>
      <c r="I342" s="11" t="s">
        <v>25</v>
      </c>
      <c r="J342" s="11" t="s">
        <v>26</v>
      </c>
      <c r="K342" s="11" t="s">
        <v>37</v>
      </c>
      <c r="L342" s="50">
        <v>46101</v>
      </c>
      <c r="M342" s="11"/>
      <c r="N342" s="11">
        <v>0</v>
      </c>
      <c r="O342" s="55">
        <f t="shared" si="5"/>
        <v>0</v>
      </c>
      <c r="P342" s="11"/>
      <c r="Q342" s="11" t="s">
        <v>37</v>
      </c>
      <c r="R342" s="11" t="s">
        <v>37</v>
      </c>
      <c r="S342" s="11" t="s">
        <v>37</v>
      </c>
      <c r="T342" s="11" t="s">
        <v>37</v>
      </c>
      <c r="U342" s="73" t="s">
        <v>528</v>
      </c>
    </row>
    <row r="343" spans="1:21" s="1" customFormat="1" ht="14.4" x14ac:dyDescent="0.3">
      <c r="A343" s="5" t="s">
        <v>519</v>
      </c>
      <c r="B343" s="5" t="s">
        <v>950</v>
      </c>
      <c r="C343" s="5" t="s">
        <v>951</v>
      </c>
      <c r="D343" s="5" t="s">
        <v>1334</v>
      </c>
      <c r="E343" s="5">
        <v>1</v>
      </c>
      <c r="F343" s="28" t="s">
        <v>531</v>
      </c>
      <c r="G343" s="11" t="s">
        <v>23</v>
      </c>
      <c r="H343" s="11" t="s">
        <v>426</v>
      </c>
      <c r="I343" s="11" t="s">
        <v>25</v>
      </c>
      <c r="J343" s="11" t="s">
        <v>26</v>
      </c>
      <c r="K343" s="85">
        <v>44623</v>
      </c>
      <c r="L343" s="52">
        <v>46022</v>
      </c>
      <c r="M343" s="28" t="s">
        <v>952</v>
      </c>
      <c r="N343" s="28">
        <v>57820</v>
      </c>
      <c r="O343" s="55">
        <f t="shared" si="5"/>
        <v>57820</v>
      </c>
      <c r="P343" s="11" t="s">
        <v>73</v>
      </c>
      <c r="Q343" s="5" t="s">
        <v>37</v>
      </c>
      <c r="R343" s="5" t="s">
        <v>37</v>
      </c>
      <c r="S343" s="5" t="s">
        <v>525</v>
      </c>
      <c r="T343" s="11" t="s">
        <v>32</v>
      </c>
      <c r="U343" s="73"/>
    </row>
    <row r="344" spans="1:21" s="1" customFormat="1" ht="26.4" x14ac:dyDescent="0.3">
      <c r="A344" s="5" t="s">
        <v>1060</v>
      </c>
      <c r="B344" s="5" t="s">
        <v>496</v>
      </c>
      <c r="C344" s="11" t="s">
        <v>529</v>
      </c>
      <c r="D344" s="5" t="s">
        <v>1334</v>
      </c>
      <c r="E344" s="11">
        <v>1</v>
      </c>
      <c r="F344" s="5" t="s">
        <v>425</v>
      </c>
      <c r="G344" s="11" t="s">
        <v>23</v>
      </c>
      <c r="H344" s="11" t="s">
        <v>426</v>
      </c>
      <c r="I344" s="11" t="s">
        <v>25</v>
      </c>
      <c r="J344" s="11" t="s">
        <v>26</v>
      </c>
      <c r="K344" s="52">
        <v>45495</v>
      </c>
      <c r="L344" s="50">
        <v>46041</v>
      </c>
      <c r="M344" s="5" t="s">
        <v>498</v>
      </c>
      <c r="N344" s="11">
        <v>52100</v>
      </c>
      <c r="O344" s="55">
        <f t="shared" si="5"/>
        <v>52100</v>
      </c>
      <c r="P344" s="11" t="s">
        <v>73</v>
      </c>
      <c r="Q344" s="43" t="s">
        <v>428</v>
      </c>
      <c r="R344" s="5" t="s">
        <v>429</v>
      </c>
      <c r="S344" s="5" t="s">
        <v>430</v>
      </c>
      <c r="T344" s="5" t="s">
        <v>942</v>
      </c>
      <c r="U344" s="73" t="s">
        <v>495</v>
      </c>
    </row>
    <row r="345" spans="1:21" s="1" customFormat="1" ht="14.4" x14ac:dyDescent="0.3">
      <c r="A345" s="11" t="s">
        <v>500</v>
      </c>
      <c r="B345" s="11" t="s">
        <v>530</v>
      </c>
      <c r="C345" s="11" t="s">
        <v>424</v>
      </c>
      <c r="D345" s="5" t="s">
        <v>1334</v>
      </c>
      <c r="E345" s="11">
        <v>1</v>
      </c>
      <c r="F345" s="5" t="s">
        <v>531</v>
      </c>
      <c r="G345" s="11" t="s">
        <v>23</v>
      </c>
      <c r="H345" s="11" t="s">
        <v>426</v>
      </c>
      <c r="I345" s="11" t="s">
        <v>25</v>
      </c>
      <c r="J345" s="11" t="s">
        <v>26</v>
      </c>
      <c r="K345" s="52">
        <v>44620</v>
      </c>
      <c r="L345" s="52">
        <v>46022</v>
      </c>
      <c r="M345" s="5" t="s">
        <v>532</v>
      </c>
      <c r="N345" s="5">
        <v>16556</v>
      </c>
      <c r="O345" s="55">
        <f t="shared" si="5"/>
        <v>16556</v>
      </c>
      <c r="P345" s="5" t="s">
        <v>73</v>
      </c>
      <c r="Q345" s="5" t="s">
        <v>37</v>
      </c>
      <c r="R345" s="5" t="s">
        <v>37</v>
      </c>
      <c r="S345" s="5" t="s">
        <v>525</v>
      </c>
      <c r="T345" s="11" t="s">
        <v>32</v>
      </c>
      <c r="U345" s="73" t="s">
        <v>533</v>
      </c>
    </row>
    <row r="346" spans="1:21" s="1" customFormat="1" ht="14.4" x14ac:dyDescent="0.3">
      <c r="A346" s="11" t="s">
        <v>412</v>
      </c>
      <c r="B346" s="11" t="s">
        <v>421</v>
      </c>
      <c r="C346" s="11" t="s">
        <v>413</v>
      </c>
      <c r="D346" s="5" t="s">
        <v>1334</v>
      </c>
      <c r="E346" s="11">
        <v>1</v>
      </c>
      <c r="F346" s="5" t="s">
        <v>83</v>
      </c>
      <c r="G346" s="11" t="s">
        <v>23</v>
      </c>
      <c r="H346" s="5" t="s">
        <v>580</v>
      </c>
      <c r="I346" s="11" t="s">
        <v>25</v>
      </c>
      <c r="J346" s="11" t="s">
        <v>26</v>
      </c>
      <c r="K346" s="59">
        <v>42682</v>
      </c>
      <c r="L346" s="50">
        <v>46045</v>
      </c>
      <c r="M346" s="5" t="s">
        <v>534</v>
      </c>
      <c r="N346" s="32">
        <v>46611.6</v>
      </c>
      <c r="O346" s="55">
        <f t="shared" si="5"/>
        <v>46611.6</v>
      </c>
      <c r="P346" s="11" t="s">
        <v>73</v>
      </c>
      <c r="Q346" s="26" t="s">
        <v>535</v>
      </c>
      <c r="R346" s="31" t="s">
        <v>536</v>
      </c>
      <c r="S346" s="26" t="s">
        <v>537</v>
      </c>
      <c r="T346" s="11" t="s">
        <v>538</v>
      </c>
      <c r="U346" s="73" t="s">
        <v>412</v>
      </c>
    </row>
    <row r="347" spans="1:21" s="1" customFormat="1" ht="26.4" x14ac:dyDescent="0.3">
      <c r="A347" s="11" t="s">
        <v>1205</v>
      </c>
      <c r="B347" s="26" t="s">
        <v>511</v>
      </c>
      <c r="C347" s="11" t="s">
        <v>512</v>
      </c>
      <c r="D347" s="5" t="s">
        <v>1334</v>
      </c>
      <c r="E347" s="11">
        <v>1</v>
      </c>
      <c r="F347" s="28" t="s">
        <v>513</v>
      </c>
      <c r="G347" s="11" t="s">
        <v>23</v>
      </c>
      <c r="H347" s="11" t="s">
        <v>408</v>
      </c>
      <c r="I347" s="11" t="s">
        <v>25</v>
      </c>
      <c r="J347" s="11" t="s">
        <v>26</v>
      </c>
      <c r="K347" s="52">
        <v>44968</v>
      </c>
      <c r="L347" s="85">
        <v>46032</v>
      </c>
      <c r="M347" s="28" t="s">
        <v>514</v>
      </c>
      <c r="N347" s="11">
        <v>8201</v>
      </c>
      <c r="O347" s="55">
        <f t="shared" si="5"/>
        <v>8201</v>
      </c>
      <c r="P347" s="11" t="s">
        <v>50</v>
      </c>
      <c r="Q347" s="43" t="s">
        <v>409</v>
      </c>
      <c r="R347" s="5">
        <v>9930806009</v>
      </c>
      <c r="S347" s="5" t="s">
        <v>515</v>
      </c>
      <c r="T347" s="5" t="s">
        <v>41</v>
      </c>
      <c r="U347" s="73" t="s">
        <v>510</v>
      </c>
    </row>
    <row r="348" spans="1:21" s="1" customFormat="1" ht="26.4" x14ac:dyDescent="0.3">
      <c r="A348" s="11" t="s">
        <v>516</v>
      </c>
      <c r="B348" s="11" t="s">
        <v>517</v>
      </c>
      <c r="C348" s="11" t="s">
        <v>526</v>
      </c>
      <c r="D348" s="5" t="s">
        <v>1334</v>
      </c>
      <c r="E348" s="11">
        <v>6</v>
      </c>
      <c r="F348" s="28" t="s">
        <v>513</v>
      </c>
      <c r="G348" s="11" t="s">
        <v>23</v>
      </c>
      <c r="H348" s="11" t="s">
        <v>408</v>
      </c>
      <c r="I348" s="11" t="s">
        <v>25</v>
      </c>
      <c r="J348" s="11" t="s">
        <v>26</v>
      </c>
      <c r="K348" s="52">
        <v>44968</v>
      </c>
      <c r="L348" s="85">
        <v>46032</v>
      </c>
      <c r="M348" s="28" t="s">
        <v>514</v>
      </c>
      <c r="N348" s="11">
        <v>7611</v>
      </c>
      <c r="O348" s="55">
        <f t="shared" si="5"/>
        <v>45666</v>
      </c>
      <c r="P348" s="11" t="s">
        <v>50</v>
      </c>
      <c r="Q348" s="43" t="s">
        <v>409</v>
      </c>
      <c r="R348" s="5">
        <v>9930806009</v>
      </c>
      <c r="S348" s="5" t="s">
        <v>515</v>
      </c>
      <c r="T348" s="5" t="s">
        <v>41</v>
      </c>
      <c r="U348" s="73" t="s">
        <v>516</v>
      </c>
    </row>
    <row r="349" spans="1:21" s="1" customFormat="1" ht="14.4" x14ac:dyDescent="0.3">
      <c r="A349" s="11" t="s">
        <v>508</v>
      </c>
      <c r="B349" s="11" t="s">
        <v>509</v>
      </c>
      <c r="C349" s="11" t="s">
        <v>526</v>
      </c>
      <c r="D349" s="5" t="s">
        <v>1334</v>
      </c>
      <c r="E349" s="12">
        <v>1</v>
      </c>
      <c r="F349" s="28" t="s">
        <v>513</v>
      </c>
      <c r="G349" s="11" t="s">
        <v>23</v>
      </c>
      <c r="H349" s="11" t="s">
        <v>408</v>
      </c>
      <c r="I349" s="11" t="s">
        <v>25</v>
      </c>
      <c r="J349" s="11" t="s">
        <v>26</v>
      </c>
      <c r="K349" s="85">
        <v>44968</v>
      </c>
      <c r="L349" s="50">
        <v>46106</v>
      </c>
      <c r="M349" s="28" t="s">
        <v>514</v>
      </c>
      <c r="N349" s="28">
        <f>8450+1521</f>
        <v>9971</v>
      </c>
      <c r="O349" s="55">
        <f t="shared" si="5"/>
        <v>9971</v>
      </c>
      <c r="P349" s="11"/>
      <c r="Q349" s="78" t="s">
        <v>409</v>
      </c>
      <c r="R349" s="26">
        <v>9930806009</v>
      </c>
      <c r="S349" s="26" t="s">
        <v>515</v>
      </c>
      <c r="T349" s="5" t="s">
        <v>41</v>
      </c>
      <c r="U349" s="73" t="s">
        <v>508</v>
      </c>
    </row>
    <row r="350" spans="1:21" s="1" customFormat="1" ht="14.4" x14ac:dyDescent="0.3">
      <c r="A350" s="11" t="s">
        <v>518</v>
      </c>
      <c r="B350" s="5" t="s">
        <v>432</v>
      </c>
      <c r="C350" s="11" t="s">
        <v>37</v>
      </c>
      <c r="D350" s="5" t="s">
        <v>1334</v>
      </c>
      <c r="E350" s="11">
        <v>1</v>
      </c>
      <c r="F350" s="5" t="s">
        <v>1257</v>
      </c>
      <c r="G350" s="11" t="s">
        <v>23</v>
      </c>
      <c r="H350" s="5" t="s">
        <v>311</v>
      </c>
      <c r="I350" s="11" t="s">
        <v>25</v>
      </c>
      <c r="J350" s="11" t="s">
        <v>26</v>
      </c>
      <c r="K350" s="85">
        <v>44968</v>
      </c>
      <c r="L350" s="50">
        <v>46085</v>
      </c>
      <c r="M350" s="11" t="s">
        <v>1258</v>
      </c>
      <c r="N350" s="11">
        <v>4001</v>
      </c>
      <c r="O350" s="55">
        <f t="shared" si="5"/>
        <v>4001</v>
      </c>
      <c r="P350" s="11" t="s">
        <v>73</v>
      </c>
      <c r="Q350" s="78" t="s">
        <v>409</v>
      </c>
      <c r="R350" s="26">
        <v>9930806009</v>
      </c>
      <c r="S350" s="26" t="s">
        <v>515</v>
      </c>
      <c r="T350" s="5" t="s">
        <v>41</v>
      </c>
      <c r="U350" s="73" t="s">
        <v>431</v>
      </c>
    </row>
    <row r="351" spans="1:21" s="1" customFormat="1" ht="39.6" x14ac:dyDescent="0.3">
      <c r="A351" s="11" t="s">
        <v>539</v>
      </c>
      <c r="B351" s="11" t="s">
        <v>1003</v>
      </c>
      <c r="C351" s="11" t="s">
        <v>540</v>
      </c>
      <c r="D351" s="11" t="s">
        <v>1004</v>
      </c>
      <c r="E351" s="11">
        <v>1</v>
      </c>
      <c r="F351" s="31" t="s">
        <v>999</v>
      </c>
      <c r="G351" s="11" t="s">
        <v>23</v>
      </c>
      <c r="H351" s="11" t="s">
        <v>426</v>
      </c>
      <c r="I351" s="11" t="s">
        <v>25</v>
      </c>
      <c r="J351" s="11" t="s">
        <v>26</v>
      </c>
      <c r="K351" s="85">
        <v>44968</v>
      </c>
      <c r="L351" s="50">
        <v>46069</v>
      </c>
      <c r="M351" s="11" t="s">
        <v>1000</v>
      </c>
      <c r="N351" s="11">
        <v>70083</v>
      </c>
      <c r="O351" s="55">
        <f t="shared" si="5"/>
        <v>70083</v>
      </c>
      <c r="P351" s="11" t="s">
        <v>73</v>
      </c>
      <c r="Q351" s="78" t="s">
        <v>409</v>
      </c>
      <c r="R351" s="26">
        <v>9930806009</v>
      </c>
      <c r="S351" s="26" t="s">
        <v>515</v>
      </c>
      <c r="T351" s="5" t="s">
        <v>41</v>
      </c>
      <c r="U351" s="75"/>
    </row>
    <row r="352" spans="1:21" s="60" customFormat="1" ht="39.6" x14ac:dyDescent="0.3">
      <c r="A352" s="11" t="s">
        <v>539</v>
      </c>
      <c r="B352" s="11" t="s">
        <v>1003</v>
      </c>
      <c r="C352" s="11" t="s">
        <v>540</v>
      </c>
      <c r="D352" s="5" t="s">
        <v>1334</v>
      </c>
      <c r="E352" s="11">
        <v>1</v>
      </c>
      <c r="F352" s="31" t="s">
        <v>999</v>
      </c>
      <c r="G352" s="11" t="s">
        <v>23</v>
      </c>
      <c r="H352" s="11" t="s">
        <v>426</v>
      </c>
      <c r="I352" s="11" t="s">
        <v>25</v>
      </c>
      <c r="J352" s="11" t="s">
        <v>26</v>
      </c>
      <c r="K352" s="50">
        <v>45446</v>
      </c>
      <c r="L352" s="50">
        <v>46069</v>
      </c>
      <c r="M352" s="11" t="s">
        <v>1000</v>
      </c>
      <c r="N352" s="11">
        <v>70083</v>
      </c>
      <c r="O352" s="55">
        <f t="shared" si="5"/>
        <v>70083</v>
      </c>
      <c r="P352" s="11" t="s">
        <v>73</v>
      </c>
      <c r="Q352" s="43" t="s">
        <v>1013</v>
      </c>
      <c r="R352" s="5">
        <v>225316608</v>
      </c>
      <c r="S352" s="5" t="s">
        <v>1014</v>
      </c>
      <c r="T352" s="5" t="s">
        <v>41</v>
      </c>
      <c r="U352" s="75"/>
    </row>
    <row r="353" spans="1:21" customFormat="1" ht="26.4" x14ac:dyDescent="0.3">
      <c r="A353" s="11" t="s">
        <v>541</v>
      </c>
      <c r="B353" s="11" t="s">
        <v>527</v>
      </c>
      <c r="C353" s="11" t="s">
        <v>439</v>
      </c>
      <c r="D353" s="11" t="s">
        <v>542</v>
      </c>
      <c r="E353" s="11">
        <v>1</v>
      </c>
      <c r="F353" s="5" t="s">
        <v>1196</v>
      </c>
      <c r="G353" s="11" t="s">
        <v>23</v>
      </c>
      <c r="H353" s="11" t="s">
        <v>408</v>
      </c>
      <c r="I353" s="11" t="s">
        <v>25</v>
      </c>
      <c r="J353" s="11" t="s">
        <v>26</v>
      </c>
      <c r="K353" s="52">
        <v>41684</v>
      </c>
      <c r="L353" s="50">
        <v>46079</v>
      </c>
      <c r="M353" s="5" t="s">
        <v>1199</v>
      </c>
      <c r="N353" s="55">
        <v>3174</v>
      </c>
      <c r="O353" s="55">
        <f t="shared" si="5"/>
        <v>3174</v>
      </c>
      <c r="P353" s="11" t="s">
        <v>73</v>
      </c>
      <c r="Q353" s="11"/>
      <c r="R353" s="11"/>
      <c r="S353" s="11"/>
      <c r="T353" s="11"/>
      <c r="U353" s="73" t="s">
        <v>541</v>
      </c>
    </row>
    <row r="354" spans="1:21" customFormat="1" ht="14.4" x14ac:dyDescent="0.3">
      <c r="A354" s="11" t="s">
        <v>518</v>
      </c>
      <c r="B354" s="5" t="s">
        <v>432</v>
      </c>
      <c r="C354" s="11" t="s">
        <v>433</v>
      </c>
      <c r="D354" s="11" t="s">
        <v>1314</v>
      </c>
      <c r="E354" s="11">
        <v>1</v>
      </c>
      <c r="F354" s="5" t="s">
        <v>1257</v>
      </c>
      <c r="G354" s="11" t="s">
        <v>23</v>
      </c>
      <c r="H354" s="5" t="s">
        <v>311</v>
      </c>
      <c r="I354" s="11" t="s">
        <v>25</v>
      </c>
      <c r="J354" s="11" t="s">
        <v>26</v>
      </c>
      <c r="K354" s="50">
        <v>45121</v>
      </c>
      <c r="L354" s="50">
        <v>46085</v>
      </c>
      <c r="M354" s="11" t="s">
        <v>1258</v>
      </c>
      <c r="N354" s="11">
        <v>4001</v>
      </c>
      <c r="O354" s="55">
        <f t="shared" si="5"/>
        <v>4001</v>
      </c>
      <c r="P354" s="11" t="s">
        <v>73</v>
      </c>
      <c r="Q354" s="43" t="s">
        <v>1259</v>
      </c>
      <c r="R354" s="5">
        <v>9820023829</v>
      </c>
      <c r="S354" s="5" t="s">
        <v>1260</v>
      </c>
      <c r="T354" s="11" t="s">
        <v>41</v>
      </c>
      <c r="U354" s="73" t="s">
        <v>431</v>
      </c>
    </row>
    <row r="355" spans="1:21" customFormat="1" ht="26.4" x14ac:dyDescent="0.3">
      <c r="A355" s="11" t="s">
        <v>543</v>
      </c>
      <c r="B355" s="11" t="s">
        <v>544</v>
      </c>
      <c r="C355" s="11" t="s">
        <v>439</v>
      </c>
      <c r="D355" s="11" t="s">
        <v>542</v>
      </c>
      <c r="E355" s="11">
        <v>1</v>
      </c>
      <c r="F355" s="11" t="s">
        <v>1196</v>
      </c>
      <c r="G355" s="11" t="s">
        <v>23</v>
      </c>
      <c r="H355" s="11" t="s">
        <v>408</v>
      </c>
      <c r="I355" s="11" t="s">
        <v>25</v>
      </c>
      <c r="J355" s="11" t="s">
        <v>26</v>
      </c>
      <c r="K355" s="59">
        <v>43629</v>
      </c>
      <c r="L355" s="50">
        <v>46079</v>
      </c>
      <c r="M355" s="11">
        <v>8</v>
      </c>
      <c r="N355" s="55">
        <v>10550</v>
      </c>
      <c r="O355" s="55">
        <f t="shared" si="5"/>
        <v>10550</v>
      </c>
      <c r="P355" s="11" t="s">
        <v>73</v>
      </c>
      <c r="Q355" s="5" t="s">
        <v>1197</v>
      </c>
      <c r="R355" s="5" t="s">
        <v>586</v>
      </c>
      <c r="S355" s="5" t="s">
        <v>1198</v>
      </c>
      <c r="T355" s="11"/>
      <c r="U355" s="73" t="s">
        <v>543</v>
      </c>
    </row>
    <row r="356" spans="1:21" customFormat="1" ht="26.4" x14ac:dyDescent="0.3">
      <c r="A356" s="25" t="s">
        <v>545</v>
      </c>
      <c r="B356" s="25" t="s">
        <v>546</v>
      </c>
      <c r="C356" s="25" t="s">
        <v>406</v>
      </c>
      <c r="D356" s="5" t="s">
        <v>542</v>
      </c>
      <c r="E356" s="25">
        <v>1</v>
      </c>
      <c r="F356" s="5" t="s">
        <v>1196</v>
      </c>
      <c r="G356" s="5" t="s">
        <v>23</v>
      </c>
      <c r="H356" s="5" t="s">
        <v>408</v>
      </c>
      <c r="I356" s="25" t="s">
        <v>25</v>
      </c>
      <c r="J356" s="25" t="s">
        <v>26</v>
      </c>
      <c r="K356" s="52">
        <v>41684</v>
      </c>
      <c r="L356" s="50">
        <v>46079</v>
      </c>
      <c r="M356" s="5" t="s">
        <v>1199</v>
      </c>
      <c r="N356" s="55">
        <v>3174</v>
      </c>
      <c r="O356" s="55">
        <f t="shared" si="5"/>
        <v>3174</v>
      </c>
      <c r="P356" s="11" t="s">
        <v>73</v>
      </c>
      <c r="Q356" s="5"/>
      <c r="R356" s="5"/>
      <c r="S356" s="5"/>
      <c r="T356" s="5"/>
      <c r="U356" s="45" t="s">
        <v>545</v>
      </c>
    </row>
    <row r="357" spans="1:21" customFormat="1" ht="26.4" x14ac:dyDescent="0.3">
      <c r="A357" s="5" t="s">
        <v>1060</v>
      </c>
      <c r="B357" s="11" t="s">
        <v>547</v>
      </c>
      <c r="C357" s="11" t="s">
        <v>529</v>
      </c>
      <c r="D357" s="11" t="s">
        <v>542</v>
      </c>
      <c r="E357" s="11">
        <v>1</v>
      </c>
      <c r="F357" s="5" t="s">
        <v>425</v>
      </c>
      <c r="G357" s="11" t="s">
        <v>23</v>
      </c>
      <c r="H357" s="11" t="s">
        <v>426</v>
      </c>
      <c r="I357" s="11" t="s">
        <v>25</v>
      </c>
      <c r="J357" s="11" t="s">
        <v>26</v>
      </c>
      <c r="K357" s="50">
        <v>45096</v>
      </c>
      <c r="L357" s="50">
        <v>46062</v>
      </c>
      <c r="M357" s="11" t="s">
        <v>548</v>
      </c>
      <c r="N357" s="11">
        <v>58500</v>
      </c>
      <c r="O357" s="55">
        <f t="shared" si="5"/>
        <v>58500</v>
      </c>
      <c r="P357" s="11" t="s">
        <v>73</v>
      </c>
      <c r="Q357" s="43" t="s">
        <v>428</v>
      </c>
      <c r="R357" s="5" t="s">
        <v>429</v>
      </c>
      <c r="S357" s="5" t="s">
        <v>430</v>
      </c>
      <c r="T357" s="5" t="s">
        <v>41</v>
      </c>
      <c r="U357" s="73" t="s">
        <v>549</v>
      </c>
    </row>
    <row r="358" spans="1:21" s="62" customFormat="1" ht="39.6" x14ac:dyDescent="0.3">
      <c r="A358" s="11" t="s">
        <v>539</v>
      </c>
      <c r="B358" s="11" t="s">
        <v>1003</v>
      </c>
      <c r="C358" s="11" t="s">
        <v>540</v>
      </c>
      <c r="D358" s="11" t="s">
        <v>550</v>
      </c>
      <c r="E358" s="11">
        <v>1</v>
      </c>
      <c r="F358" s="31" t="s">
        <v>999</v>
      </c>
      <c r="G358" s="11" t="s">
        <v>23</v>
      </c>
      <c r="H358" s="11" t="s">
        <v>426</v>
      </c>
      <c r="I358" s="11" t="s">
        <v>25</v>
      </c>
      <c r="J358" s="11" t="s">
        <v>26</v>
      </c>
      <c r="K358" s="50">
        <v>45446</v>
      </c>
      <c r="L358" s="50">
        <v>46069</v>
      </c>
      <c r="M358" s="11" t="s">
        <v>1000</v>
      </c>
      <c r="N358" s="11">
        <v>70083</v>
      </c>
      <c r="O358" s="55">
        <f t="shared" si="5"/>
        <v>70083</v>
      </c>
      <c r="P358" s="11" t="s">
        <v>50</v>
      </c>
      <c r="Q358" s="43" t="s">
        <v>1013</v>
      </c>
      <c r="R358" s="5">
        <v>225316608</v>
      </c>
      <c r="S358" s="5" t="s">
        <v>1014</v>
      </c>
      <c r="T358" s="5" t="s">
        <v>41</v>
      </c>
      <c r="U358" s="73" t="s">
        <v>551</v>
      </c>
    </row>
    <row r="359" spans="1:21" s="1" customFormat="1" ht="26.4" x14ac:dyDescent="0.3">
      <c r="A359" s="11" t="s">
        <v>1172</v>
      </c>
      <c r="B359" s="11" t="s">
        <v>1171</v>
      </c>
      <c r="C359" s="11" t="s">
        <v>406</v>
      </c>
      <c r="D359" s="11" t="s">
        <v>550</v>
      </c>
      <c r="E359" s="11">
        <v>1</v>
      </c>
      <c r="F359" s="5" t="s">
        <v>440</v>
      </c>
      <c r="G359" s="11" t="s">
        <v>23</v>
      </c>
      <c r="H359" s="11" t="s">
        <v>408</v>
      </c>
      <c r="I359" s="11" t="s">
        <v>25</v>
      </c>
      <c r="J359" s="11" t="s">
        <v>26</v>
      </c>
      <c r="K359" s="59">
        <v>43614</v>
      </c>
      <c r="L359" s="50">
        <v>46042</v>
      </c>
      <c r="M359" s="5" t="s">
        <v>441</v>
      </c>
      <c r="N359" s="32">
        <v>24319.771428571428</v>
      </c>
      <c r="O359" s="55">
        <f t="shared" si="5"/>
        <v>24319.771428571428</v>
      </c>
      <c r="P359" s="11" t="s">
        <v>50</v>
      </c>
      <c r="Q359" s="11" t="s">
        <v>37</v>
      </c>
      <c r="R359" s="11" t="s">
        <v>37</v>
      </c>
      <c r="S359" s="11" t="s">
        <v>37</v>
      </c>
      <c r="T359" s="11" t="s">
        <v>58</v>
      </c>
      <c r="U359" s="73" t="s">
        <v>552</v>
      </c>
    </row>
    <row r="360" spans="1:21" s="1" customFormat="1" ht="26.4" x14ac:dyDescent="0.3">
      <c r="A360" s="11" t="s">
        <v>1173</v>
      </c>
      <c r="B360" s="11" t="s">
        <v>1171</v>
      </c>
      <c r="C360" s="11" t="s">
        <v>406</v>
      </c>
      <c r="D360" s="11" t="s">
        <v>550</v>
      </c>
      <c r="E360" s="11">
        <v>1</v>
      </c>
      <c r="F360" s="5" t="s">
        <v>440</v>
      </c>
      <c r="G360" s="11" t="s">
        <v>23</v>
      </c>
      <c r="H360" s="11" t="s">
        <v>408</v>
      </c>
      <c r="I360" s="11" t="s">
        <v>25</v>
      </c>
      <c r="J360" s="11" t="s">
        <v>26</v>
      </c>
      <c r="K360" s="59">
        <v>43614</v>
      </c>
      <c r="L360" s="50">
        <v>46042</v>
      </c>
      <c r="M360" s="5" t="s">
        <v>441</v>
      </c>
      <c r="N360" s="32">
        <v>24319.771428571428</v>
      </c>
      <c r="O360" s="55">
        <f t="shared" si="5"/>
        <v>24319.771428571428</v>
      </c>
      <c r="P360" s="11" t="s">
        <v>50</v>
      </c>
      <c r="Q360" s="11" t="s">
        <v>37</v>
      </c>
      <c r="R360" s="11" t="s">
        <v>37</v>
      </c>
      <c r="S360" s="11" t="s">
        <v>37</v>
      </c>
      <c r="T360" s="11" t="s">
        <v>58</v>
      </c>
      <c r="U360" s="73" t="s">
        <v>552</v>
      </c>
    </row>
    <row r="361" spans="1:21" s="1" customFormat="1" ht="14.4" x14ac:dyDescent="0.3">
      <c r="A361" s="11" t="s">
        <v>553</v>
      </c>
      <c r="B361" s="11" t="s">
        <v>554</v>
      </c>
      <c r="C361" s="11" t="s">
        <v>416</v>
      </c>
      <c r="D361" s="11" t="s">
        <v>550</v>
      </c>
      <c r="E361" s="11">
        <v>1</v>
      </c>
      <c r="F361" s="5" t="s">
        <v>440</v>
      </c>
      <c r="G361" s="11" t="s">
        <v>23</v>
      </c>
      <c r="H361" s="11" t="s">
        <v>408</v>
      </c>
      <c r="I361" s="11" t="s">
        <v>25</v>
      </c>
      <c r="J361" s="11" t="s">
        <v>26</v>
      </c>
      <c r="K361" s="59">
        <v>43614</v>
      </c>
      <c r="L361" s="50">
        <v>46045</v>
      </c>
      <c r="M361" s="5" t="s">
        <v>441</v>
      </c>
      <c r="N361" s="32">
        <v>15697</v>
      </c>
      <c r="O361" s="55">
        <f t="shared" si="5"/>
        <v>15697</v>
      </c>
      <c r="P361" s="11" t="s">
        <v>73</v>
      </c>
      <c r="Q361" s="11" t="s">
        <v>37</v>
      </c>
      <c r="R361" s="11" t="s">
        <v>37</v>
      </c>
      <c r="S361" s="11" t="s">
        <v>37</v>
      </c>
      <c r="T361" s="11" t="s">
        <v>58</v>
      </c>
      <c r="U361" s="73" t="s">
        <v>553</v>
      </c>
    </row>
    <row r="362" spans="1:21" s="1" customFormat="1" ht="14.4" x14ac:dyDescent="0.3">
      <c r="A362" s="11" t="s">
        <v>518</v>
      </c>
      <c r="B362" s="5" t="s">
        <v>432</v>
      </c>
      <c r="C362" s="11" t="s">
        <v>433</v>
      </c>
      <c r="D362" s="11" t="s">
        <v>550</v>
      </c>
      <c r="E362" s="11">
        <v>2</v>
      </c>
      <c r="F362" s="5" t="s">
        <v>1257</v>
      </c>
      <c r="G362" s="11" t="s">
        <v>23</v>
      </c>
      <c r="H362" s="5" t="s">
        <v>311</v>
      </c>
      <c r="I362" s="11" t="s">
        <v>25</v>
      </c>
      <c r="J362" s="11" t="s">
        <v>26</v>
      </c>
      <c r="K362" s="50">
        <v>45121</v>
      </c>
      <c r="L362" s="50">
        <v>46085</v>
      </c>
      <c r="M362" s="11" t="s">
        <v>1258</v>
      </c>
      <c r="N362" s="11">
        <v>4001</v>
      </c>
      <c r="O362" s="55">
        <f t="shared" si="5"/>
        <v>8002</v>
      </c>
      <c r="P362" s="11" t="s">
        <v>73</v>
      </c>
      <c r="Q362" s="43" t="s">
        <v>1259</v>
      </c>
      <c r="R362" s="5">
        <v>9820023829</v>
      </c>
      <c r="S362" s="5" t="s">
        <v>1260</v>
      </c>
      <c r="T362" s="11" t="s">
        <v>41</v>
      </c>
      <c r="U362" s="73" t="s">
        <v>431</v>
      </c>
    </row>
    <row r="363" spans="1:21" s="1" customFormat="1" ht="14.4" x14ac:dyDescent="0.3">
      <c r="A363" s="11" t="s">
        <v>500</v>
      </c>
      <c r="B363" s="11" t="s">
        <v>555</v>
      </c>
      <c r="C363" s="11" t="s">
        <v>502</v>
      </c>
      <c r="D363" s="11" t="s">
        <v>556</v>
      </c>
      <c r="E363" s="11">
        <v>1</v>
      </c>
      <c r="F363" s="5" t="s">
        <v>531</v>
      </c>
      <c r="G363" s="11" t="s">
        <v>23</v>
      </c>
      <c r="H363" s="11" t="s">
        <v>426</v>
      </c>
      <c r="I363" s="11" t="s">
        <v>25</v>
      </c>
      <c r="J363" s="11" t="s">
        <v>26</v>
      </c>
      <c r="K363" s="50">
        <v>40999</v>
      </c>
      <c r="L363" s="50">
        <v>46065</v>
      </c>
      <c r="M363" s="11">
        <v>3172</v>
      </c>
      <c r="N363" s="11">
        <v>22570</v>
      </c>
      <c r="O363" s="55">
        <f t="shared" si="5"/>
        <v>22570</v>
      </c>
      <c r="P363" s="5" t="s">
        <v>73</v>
      </c>
      <c r="Q363" s="5" t="s">
        <v>37</v>
      </c>
      <c r="R363" s="5" t="s">
        <v>37</v>
      </c>
      <c r="S363" s="5" t="s">
        <v>525</v>
      </c>
      <c r="T363" s="11" t="s">
        <v>643</v>
      </c>
      <c r="U363" s="73" t="s">
        <v>504</v>
      </c>
    </row>
    <row r="364" spans="1:21" s="1" customFormat="1" ht="26.4" x14ac:dyDescent="0.3">
      <c r="A364" s="11" t="s">
        <v>500</v>
      </c>
      <c r="B364" s="11" t="s">
        <v>501</v>
      </c>
      <c r="C364" s="11" t="s">
        <v>502</v>
      </c>
      <c r="D364" s="11" t="s">
        <v>556</v>
      </c>
      <c r="E364" s="11">
        <v>1</v>
      </c>
      <c r="F364" s="5" t="s">
        <v>425</v>
      </c>
      <c r="G364" s="11" t="s">
        <v>23</v>
      </c>
      <c r="H364" s="11" t="s">
        <v>426</v>
      </c>
      <c r="I364" s="11" t="s">
        <v>25</v>
      </c>
      <c r="J364" s="11" t="s">
        <v>26</v>
      </c>
      <c r="K364" s="52">
        <v>45191</v>
      </c>
      <c r="L364" s="50">
        <v>46032</v>
      </c>
      <c r="M364" s="5" t="s">
        <v>503</v>
      </c>
      <c r="N364" s="11">
        <v>13516</v>
      </c>
      <c r="O364" s="55">
        <f t="shared" si="5"/>
        <v>13516</v>
      </c>
      <c r="P364" s="5" t="s">
        <v>73</v>
      </c>
      <c r="Q364" s="5" t="s">
        <v>428</v>
      </c>
      <c r="R364" s="5" t="s">
        <v>429</v>
      </c>
      <c r="S364" s="5" t="s">
        <v>430</v>
      </c>
      <c r="T364" s="5" t="s">
        <v>41</v>
      </c>
      <c r="U364" s="73" t="s">
        <v>500</v>
      </c>
    </row>
    <row r="365" spans="1:21" s="1" customFormat="1" ht="26.4" x14ac:dyDescent="0.3">
      <c r="A365" s="5" t="s">
        <v>1060</v>
      </c>
      <c r="B365" s="11" t="s">
        <v>557</v>
      </c>
      <c r="C365" s="11" t="s">
        <v>558</v>
      </c>
      <c r="D365" s="11" t="s">
        <v>556</v>
      </c>
      <c r="E365" s="11">
        <v>1</v>
      </c>
      <c r="F365" s="5" t="s">
        <v>945</v>
      </c>
      <c r="G365" s="11" t="s">
        <v>23</v>
      </c>
      <c r="H365" s="11" t="s">
        <v>426</v>
      </c>
      <c r="I365" s="11" t="s">
        <v>25</v>
      </c>
      <c r="J365" s="11" t="s">
        <v>26</v>
      </c>
      <c r="K365" s="52">
        <v>44747</v>
      </c>
      <c r="L365" s="52">
        <v>46068</v>
      </c>
      <c r="M365" s="5" t="s">
        <v>943</v>
      </c>
      <c r="N365" s="5">
        <v>54800</v>
      </c>
      <c r="O365" s="55">
        <f t="shared" si="5"/>
        <v>54800</v>
      </c>
      <c r="P365" s="11" t="s">
        <v>73</v>
      </c>
      <c r="Q365" s="5" t="s">
        <v>37</v>
      </c>
      <c r="R365" s="5" t="s">
        <v>37</v>
      </c>
      <c r="S365" s="5" t="s">
        <v>946</v>
      </c>
      <c r="T365" s="11" t="s">
        <v>32</v>
      </c>
      <c r="U365" s="11"/>
    </row>
    <row r="366" spans="1:21" s="1" customFormat="1" ht="26.4" x14ac:dyDescent="0.3">
      <c r="A366" s="5" t="s">
        <v>1060</v>
      </c>
      <c r="B366" s="11" t="s">
        <v>1180</v>
      </c>
      <c r="C366" s="11" t="s">
        <v>558</v>
      </c>
      <c r="D366" s="11" t="s">
        <v>556</v>
      </c>
      <c r="E366" s="11">
        <v>1</v>
      </c>
      <c r="F366" s="5" t="s">
        <v>945</v>
      </c>
      <c r="G366" s="11" t="s">
        <v>23</v>
      </c>
      <c r="H366" s="11" t="s">
        <v>426</v>
      </c>
      <c r="I366" s="11" t="s">
        <v>25</v>
      </c>
      <c r="J366" s="11" t="s">
        <v>26</v>
      </c>
      <c r="K366" s="52">
        <v>44750</v>
      </c>
      <c r="L366" s="52">
        <v>46068</v>
      </c>
      <c r="M366" s="5" t="s">
        <v>944</v>
      </c>
      <c r="N366" s="5">
        <v>54800</v>
      </c>
      <c r="O366" s="55">
        <f t="shared" si="5"/>
        <v>54800</v>
      </c>
      <c r="P366" s="11" t="s">
        <v>73</v>
      </c>
      <c r="Q366" s="5" t="s">
        <v>37</v>
      </c>
      <c r="R366" s="5" t="s">
        <v>37</v>
      </c>
      <c r="S366" s="5" t="s">
        <v>946</v>
      </c>
      <c r="T366" s="11" t="s">
        <v>32</v>
      </c>
      <c r="U366" s="11"/>
    </row>
    <row r="367" spans="1:21" s="1" customFormat="1" ht="26.4" x14ac:dyDescent="0.3">
      <c r="A367" s="11" t="s">
        <v>508</v>
      </c>
      <c r="B367" s="11" t="s">
        <v>527</v>
      </c>
      <c r="C367" s="11" t="s">
        <v>406</v>
      </c>
      <c r="D367" s="11" t="s">
        <v>556</v>
      </c>
      <c r="E367" s="11">
        <v>2</v>
      </c>
      <c r="F367" s="5" t="s">
        <v>1196</v>
      </c>
      <c r="G367" s="11" t="s">
        <v>23</v>
      </c>
      <c r="H367" s="11" t="s">
        <v>408</v>
      </c>
      <c r="I367" s="11" t="s">
        <v>25</v>
      </c>
      <c r="J367" s="11" t="s">
        <v>26</v>
      </c>
      <c r="K367" s="51">
        <v>43186</v>
      </c>
      <c r="L367" s="50">
        <v>46079</v>
      </c>
      <c r="M367" s="38">
        <v>180029</v>
      </c>
      <c r="N367" s="56">
        <v>7950</v>
      </c>
      <c r="O367" s="55">
        <f t="shared" si="5"/>
        <v>15900</v>
      </c>
      <c r="P367" s="11" t="s">
        <v>73</v>
      </c>
      <c r="Q367" s="5" t="s">
        <v>1197</v>
      </c>
      <c r="R367" s="5" t="s">
        <v>586</v>
      </c>
      <c r="S367" s="5" t="s">
        <v>1198</v>
      </c>
      <c r="T367" s="11"/>
      <c r="U367" s="73" t="s">
        <v>508</v>
      </c>
    </row>
    <row r="368" spans="1:21" s="1" customFormat="1" ht="26.4" x14ac:dyDescent="0.3">
      <c r="A368" s="11" t="s">
        <v>559</v>
      </c>
      <c r="B368" s="11" t="s">
        <v>560</v>
      </c>
      <c r="C368" s="11" t="s">
        <v>37</v>
      </c>
      <c r="D368" s="11" t="s">
        <v>556</v>
      </c>
      <c r="E368" s="11">
        <v>1</v>
      </c>
      <c r="F368" s="5" t="s">
        <v>1196</v>
      </c>
      <c r="G368" s="11" t="s">
        <v>23</v>
      </c>
      <c r="H368" s="11" t="s">
        <v>408</v>
      </c>
      <c r="I368" s="11" t="s">
        <v>25</v>
      </c>
      <c r="J368" s="11" t="s">
        <v>26</v>
      </c>
      <c r="K368" s="51">
        <v>44055</v>
      </c>
      <c r="L368" s="50">
        <v>46079</v>
      </c>
      <c r="M368" s="5">
        <v>2602</v>
      </c>
      <c r="N368" s="56">
        <v>13150</v>
      </c>
      <c r="O368" s="55">
        <f t="shared" si="5"/>
        <v>13150</v>
      </c>
      <c r="P368" s="11" t="s">
        <v>73</v>
      </c>
      <c r="Q368" s="25" t="s">
        <v>1197</v>
      </c>
      <c r="R368" s="86" t="s">
        <v>586</v>
      </c>
      <c r="S368" s="86" t="s">
        <v>1198</v>
      </c>
      <c r="T368" s="5"/>
      <c r="U368" s="73" t="s">
        <v>559</v>
      </c>
    </row>
    <row r="369" spans="1:21" s="1" customFormat="1" ht="26.4" x14ac:dyDescent="0.3">
      <c r="A369" s="26" t="s">
        <v>953</v>
      </c>
      <c r="B369" s="26" t="s">
        <v>955</v>
      </c>
      <c r="C369" s="11" t="s">
        <v>37</v>
      </c>
      <c r="D369" s="11" t="s">
        <v>556</v>
      </c>
      <c r="E369" s="11">
        <v>1</v>
      </c>
      <c r="F369" s="28" t="s">
        <v>513</v>
      </c>
      <c r="G369" s="11" t="s">
        <v>23</v>
      </c>
      <c r="H369" s="11" t="s">
        <v>408</v>
      </c>
      <c r="I369" s="11" t="s">
        <v>25</v>
      </c>
      <c r="J369" s="11" t="s">
        <v>26</v>
      </c>
      <c r="K369" s="52">
        <v>44968</v>
      </c>
      <c r="L369" s="50">
        <v>46032</v>
      </c>
      <c r="M369" s="5" t="s">
        <v>514</v>
      </c>
      <c r="N369" s="55">
        <f>8150</f>
        <v>8150</v>
      </c>
      <c r="O369" s="55">
        <f t="shared" si="5"/>
        <v>8150</v>
      </c>
      <c r="P369" s="11" t="s">
        <v>73</v>
      </c>
      <c r="Q369" s="43" t="s">
        <v>409</v>
      </c>
      <c r="R369" s="5">
        <v>9930806009</v>
      </c>
      <c r="S369" s="5" t="s">
        <v>515</v>
      </c>
      <c r="T369" s="11" t="s">
        <v>41</v>
      </c>
      <c r="U369" s="73" t="s">
        <v>561</v>
      </c>
    </row>
    <row r="370" spans="1:21" s="1" customFormat="1" ht="26.4" x14ac:dyDescent="0.3">
      <c r="A370" s="11" t="s">
        <v>1205</v>
      </c>
      <c r="B370" s="26" t="s">
        <v>511</v>
      </c>
      <c r="C370" s="11" t="s">
        <v>512</v>
      </c>
      <c r="D370" s="11" t="s">
        <v>556</v>
      </c>
      <c r="E370" s="11">
        <v>2</v>
      </c>
      <c r="F370" s="28" t="s">
        <v>513</v>
      </c>
      <c r="G370" s="11" t="s">
        <v>23</v>
      </c>
      <c r="H370" s="11" t="s">
        <v>408</v>
      </c>
      <c r="I370" s="11" t="s">
        <v>25</v>
      </c>
      <c r="J370" s="11" t="s">
        <v>26</v>
      </c>
      <c r="K370" s="52">
        <v>44968</v>
      </c>
      <c r="L370" s="85">
        <v>46032</v>
      </c>
      <c r="M370" s="28" t="s">
        <v>514</v>
      </c>
      <c r="N370" s="11">
        <v>8201</v>
      </c>
      <c r="O370" s="55">
        <f t="shared" si="5"/>
        <v>16402</v>
      </c>
      <c r="P370" s="11" t="s">
        <v>50</v>
      </c>
      <c r="Q370" s="43" t="s">
        <v>409</v>
      </c>
      <c r="R370" s="5">
        <v>9930806006</v>
      </c>
      <c r="S370" s="5" t="s">
        <v>410</v>
      </c>
      <c r="T370" s="11" t="s">
        <v>41</v>
      </c>
      <c r="U370" s="73" t="s">
        <v>510</v>
      </c>
    </row>
    <row r="371" spans="1:21" s="1" customFormat="1" ht="26.4" x14ac:dyDescent="0.3">
      <c r="A371" s="11" t="s">
        <v>516</v>
      </c>
      <c r="B371" s="11" t="s">
        <v>517</v>
      </c>
      <c r="C371" s="11" t="s">
        <v>512</v>
      </c>
      <c r="D371" s="11" t="s">
        <v>556</v>
      </c>
      <c r="E371" s="11">
        <v>3</v>
      </c>
      <c r="F371" s="28" t="s">
        <v>513</v>
      </c>
      <c r="G371" s="11" t="s">
        <v>23</v>
      </c>
      <c r="H371" s="11" t="s">
        <v>408</v>
      </c>
      <c r="I371" s="11" t="s">
        <v>25</v>
      </c>
      <c r="J371" s="11" t="s">
        <v>26</v>
      </c>
      <c r="K371" s="52">
        <v>44968</v>
      </c>
      <c r="L371" s="85">
        <v>46032</v>
      </c>
      <c r="M371" s="28" t="s">
        <v>514</v>
      </c>
      <c r="N371" s="11">
        <v>7611</v>
      </c>
      <c r="O371" s="55">
        <f t="shared" si="5"/>
        <v>22833</v>
      </c>
      <c r="P371" s="11" t="s">
        <v>50</v>
      </c>
      <c r="Q371" s="43" t="s">
        <v>409</v>
      </c>
      <c r="R371" s="5">
        <v>9930806006</v>
      </c>
      <c r="S371" s="5" t="s">
        <v>410</v>
      </c>
      <c r="T371" s="11" t="s">
        <v>41</v>
      </c>
      <c r="U371" s="73" t="s">
        <v>516</v>
      </c>
    </row>
    <row r="372" spans="1:21" s="1" customFormat="1" ht="14.4" x14ac:dyDescent="0.3">
      <c r="A372" s="11" t="s">
        <v>518</v>
      </c>
      <c r="B372" s="5" t="s">
        <v>432</v>
      </c>
      <c r="C372" s="11" t="s">
        <v>562</v>
      </c>
      <c r="D372" s="11" t="s">
        <v>556</v>
      </c>
      <c r="E372" s="11">
        <v>4</v>
      </c>
      <c r="F372" s="5" t="s">
        <v>1257</v>
      </c>
      <c r="G372" s="11" t="s">
        <v>23</v>
      </c>
      <c r="H372" s="5" t="s">
        <v>311</v>
      </c>
      <c r="I372" s="11" t="s">
        <v>25</v>
      </c>
      <c r="J372" s="11" t="s">
        <v>26</v>
      </c>
      <c r="K372" s="50">
        <v>45121</v>
      </c>
      <c r="L372" s="50">
        <v>46085</v>
      </c>
      <c r="M372" s="11" t="s">
        <v>1258</v>
      </c>
      <c r="N372" s="11">
        <v>4001</v>
      </c>
      <c r="O372" s="55">
        <f t="shared" si="5"/>
        <v>16004</v>
      </c>
      <c r="P372" s="11" t="s">
        <v>73</v>
      </c>
      <c r="Q372" s="43" t="s">
        <v>1259</v>
      </c>
      <c r="R372" s="5">
        <v>9820023829</v>
      </c>
      <c r="S372" s="5" t="s">
        <v>1260</v>
      </c>
      <c r="T372" s="11" t="s">
        <v>41</v>
      </c>
      <c r="U372" s="73" t="s">
        <v>431</v>
      </c>
    </row>
    <row r="373" spans="1:21" s="1" customFormat="1" ht="14.4" x14ac:dyDescent="0.3">
      <c r="A373" s="11" t="s">
        <v>412</v>
      </c>
      <c r="B373" s="11" t="s">
        <v>563</v>
      </c>
      <c r="C373" s="11" t="s">
        <v>564</v>
      </c>
      <c r="D373" s="11" t="s">
        <v>556</v>
      </c>
      <c r="E373" s="11">
        <v>1</v>
      </c>
      <c r="F373" s="11" t="s">
        <v>37</v>
      </c>
      <c r="G373" s="11" t="s">
        <v>23</v>
      </c>
      <c r="H373" s="5" t="s">
        <v>580</v>
      </c>
      <c r="I373" s="11" t="s">
        <v>25</v>
      </c>
      <c r="J373" s="11" t="s">
        <v>26</v>
      </c>
      <c r="K373" s="11" t="s">
        <v>37</v>
      </c>
      <c r="L373" s="50">
        <v>46104</v>
      </c>
      <c r="M373" s="11" t="s">
        <v>37</v>
      </c>
      <c r="N373" s="11">
        <v>0</v>
      </c>
      <c r="O373" s="55">
        <f t="shared" si="5"/>
        <v>0</v>
      </c>
      <c r="P373" s="11" t="s">
        <v>37</v>
      </c>
      <c r="Q373" s="11" t="s">
        <v>37</v>
      </c>
      <c r="R373" s="11" t="s">
        <v>37</v>
      </c>
      <c r="S373" s="11" t="s">
        <v>37</v>
      </c>
      <c r="T373" s="11" t="s">
        <v>37</v>
      </c>
      <c r="U373" s="73" t="s">
        <v>412</v>
      </c>
    </row>
    <row r="374" spans="1:21" s="1" customFormat="1" ht="26.4" x14ac:dyDescent="0.3">
      <c r="A374" s="11" t="s">
        <v>565</v>
      </c>
      <c r="B374" s="11" t="s">
        <v>544</v>
      </c>
      <c r="C374" s="11" t="s">
        <v>439</v>
      </c>
      <c r="D374" s="11" t="s">
        <v>556</v>
      </c>
      <c r="E374" s="11">
        <v>2</v>
      </c>
      <c r="F374" s="11" t="s">
        <v>1196</v>
      </c>
      <c r="G374" s="11" t="s">
        <v>23</v>
      </c>
      <c r="H374" s="11" t="s">
        <v>408</v>
      </c>
      <c r="I374" s="11" t="s">
        <v>25</v>
      </c>
      <c r="J374" s="11" t="s">
        <v>26</v>
      </c>
      <c r="K374" s="87">
        <v>41727</v>
      </c>
      <c r="L374" s="50">
        <v>46079</v>
      </c>
      <c r="M374" s="11">
        <v>148</v>
      </c>
      <c r="N374" s="56">
        <v>6920</v>
      </c>
      <c r="O374" s="55">
        <f t="shared" si="5"/>
        <v>13840</v>
      </c>
      <c r="P374" s="11" t="s">
        <v>73</v>
      </c>
      <c r="Q374" s="5" t="s">
        <v>1197</v>
      </c>
      <c r="R374" s="5" t="s">
        <v>586</v>
      </c>
      <c r="S374" s="5" t="s">
        <v>1198</v>
      </c>
      <c r="T374" s="11"/>
      <c r="U374" s="73" t="s">
        <v>565</v>
      </c>
    </row>
    <row r="375" spans="1:21" s="1" customFormat="1" ht="14.4" x14ac:dyDescent="0.3">
      <c r="A375" s="11" t="s">
        <v>566</v>
      </c>
      <c r="B375" s="11" t="s">
        <v>566</v>
      </c>
      <c r="C375" s="11" t="s">
        <v>567</v>
      </c>
      <c r="D375" s="5" t="s">
        <v>1007</v>
      </c>
      <c r="E375" s="11">
        <v>2</v>
      </c>
      <c r="F375" s="11" t="s">
        <v>1210</v>
      </c>
      <c r="G375" s="11" t="s">
        <v>23</v>
      </c>
      <c r="H375" s="11" t="s">
        <v>426</v>
      </c>
      <c r="I375" s="11" t="s">
        <v>25</v>
      </c>
      <c r="J375" s="11" t="s">
        <v>26</v>
      </c>
      <c r="K375" s="50">
        <v>41135</v>
      </c>
      <c r="L375" s="50">
        <v>46042</v>
      </c>
      <c r="M375" s="11"/>
      <c r="N375" s="11">
        <v>23062</v>
      </c>
      <c r="O375" s="55">
        <f t="shared" si="5"/>
        <v>46124</v>
      </c>
      <c r="P375" s="11" t="s">
        <v>73</v>
      </c>
      <c r="Q375" s="11"/>
      <c r="R375" s="11"/>
      <c r="S375" s="11"/>
      <c r="T375" s="11"/>
      <c r="U375" s="73" t="s">
        <v>566</v>
      </c>
    </row>
    <row r="376" spans="1:21" s="1" customFormat="1" ht="52.8" x14ac:dyDescent="0.3">
      <c r="A376" s="11" t="s">
        <v>1375</v>
      </c>
      <c r="B376" s="11" t="s">
        <v>1376</v>
      </c>
      <c r="C376" s="11" t="s">
        <v>1377</v>
      </c>
      <c r="D376" s="5" t="s">
        <v>1007</v>
      </c>
      <c r="E376" s="12">
        <v>1</v>
      </c>
      <c r="F376" s="5" t="s">
        <v>1379</v>
      </c>
      <c r="G376" s="11" t="s">
        <v>23</v>
      </c>
      <c r="H376" s="5" t="s">
        <v>580</v>
      </c>
      <c r="I376" s="11" t="s">
        <v>25</v>
      </c>
      <c r="J376" s="11" t="s">
        <v>26</v>
      </c>
      <c r="K376" s="50">
        <v>44629</v>
      </c>
      <c r="L376" s="50">
        <v>46104</v>
      </c>
      <c r="M376" s="11" t="s">
        <v>1378</v>
      </c>
      <c r="N376" s="11">
        <v>720379.5</v>
      </c>
      <c r="O376" s="55">
        <f t="shared" si="5"/>
        <v>720379.5</v>
      </c>
      <c r="P376" s="11"/>
      <c r="Q376" s="5" t="s">
        <v>245</v>
      </c>
      <c r="R376" s="5" t="s">
        <v>246</v>
      </c>
      <c r="S376" s="5" t="s">
        <v>1380</v>
      </c>
      <c r="T376" s="11" t="s">
        <v>1101</v>
      </c>
      <c r="U376" s="73" t="s">
        <v>568</v>
      </c>
    </row>
    <row r="377" spans="1:21" s="1" customFormat="1" ht="39.6" x14ac:dyDescent="0.3">
      <c r="A377" s="5" t="s">
        <v>1060</v>
      </c>
      <c r="B377" s="11" t="s">
        <v>569</v>
      </c>
      <c r="C377" s="11" t="s">
        <v>558</v>
      </c>
      <c r="D377" s="5" t="s">
        <v>1007</v>
      </c>
      <c r="E377" s="11">
        <v>1</v>
      </c>
      <c r="F377" s="5" t="s">
        <v>947</v>
      </c>
      <c r="G377" s="11" t="s">
        <v>23</v>
      </c>
      <c r="H377" s="11" t="s">
        <v>426</v>
      </c>
      <c r="I377" s="11" t="s">
        <v>25</v>
      </c>
      <c r="J377" s="11" t="s">
        <v>26</v>
      </c>
      <c r="K377" s="59">
        <v>42650</v>
      </c>
      <c r="L377" s="59">
        <v>46068</v>
      </c>
      <c r="M377" s="5">
        <v>816128</v>
      </c>
      <c r="N377" s="32">
        <v>26460</v>
      </c>
      <c r="O377" s="55">
        <f t="shared" si="5"/>
        <v>26460</v>
      </c>
      <c r="P377" s="11" t="s">
        <v>73</v>
      </c>
      <c r="Q377" s="5" t="s">
        <v>37</v>
      </c>
      <c r="R377" s="5" t="s">
        <v>948</v>
      </c>
      <c r="S377" s="5" t="s">
        <v>949</v>
      </c>
      <c r="T377" s="11" t="s">
        <v>538</v>
      </c>
      <c r="U377" s="73" t="s">
        <v>570</v>
      </c>
    </row>
    <row r="378" spans="1:21" s="1" customFormat="1" ht="26.4" x14ac:dyDescent="0.3">
      <c r="A378" s="11" t="s">
        <v>505</v>
      </c>
      <c r="B378" s="5" t="s">
        <v>1097</v>
      </c>
      <c r="C378" s="11" t="s">
        <v>446</v>
      </c>
      <c r="D378" s="5" t="s">
        <v>1007</v>
      </c>
      <c r="E378" s="11">
        <v>1</v>
      </c>
      <c r="F378" s="5" t="s">
        <v>425</v>
      </c>
      <c r="G378" s="11" t="s">
        <v>23</v>
      </c>
      <c r="H378" s="11" t="s">
        <v>426</v>
      </c>
      <c r="I378" s="11" t="s">
        <v>25</v>
      </c>
      <c r="J378" s="11" t="s">
        <v>26</v>
      </c>
      <c r="K378" s="52">
        <v>45512</v>
      </c>
      <c r="L378" s="50">
        <v>46215</v>
      </c>
      <c r="M378" s="5" t="s">
        <v>1093</v>
      </c>
      <c r="N378" s="5">
        <v>5600</v>
      </c>
      <c r="O378" s="55">
        <f t="shared" si="5"/>
        <v>5600</v>
      </c>
      <c r="P378" s="11" t="s">
        <v>73</v>
      </c>
      <c r="Q378" s="43" t="s">
        <v>428</v>
      </c>
      <c r="R378" s="5" t="s">
        <v>429</v>
      </c>
      <c r="S378" s="5" t="s">
        <v>430</v>
      </c>
      <c r="T378" s="5" t="s">
        <v>41</v>
      </c>
      <c r="U378" s="73" t="s">
        <v>505</v>
      </c>
    </row>
    <row r="379" spans="1:21" s="1" customFormat="1" ht="26.4" x14ac:dyDescent="0.3">
      <c r="A379" s="11" t="s">
        <v>1205</v>
      </c>
      <c r="B379" s="26" t="s">
        <v>511</v>
      </c>
      <c r="C379" s="11" t="s">
        <v>512</v>
      </c>
      <c r="D379" s="5" t="s">
        <v>1007</v>
      </c>
      <c r="E379" s="11">
        <v>1</v>
      </c>
      <c r="F379" s="28" t="s">
        <v>513</v>
      </c>
      <c r="G379" s="11" t="s">
        <v>23</v>
      </c>
      <c r="H379" s="11" t="s">
        <v>408</v>
      </c>
      <c r="I379" s="11" t="s">
        <v>25</v>
      </c>
      <c r="J379" s="11" t="s">
        <v>26</v>
      </c>
      <c r="K379" s="52">
        <v>44968</v>
      </c>
      <c r="L379" s="85">
        <v>46032</v>
      </c>
      <c r="M379" s="28" t="s">
        <v>514</v>
      </c>
      <c r="N379" s="11">
        <v>8201</v>
      </c>
      <c r="O379" s="55">
        <f t="shared" si="5"/>
        <v>8201</v>
      </c>
      <c r="P379" s="11" t="s">
        <v>50</v>
      </c>
      <c r="Q379" s="43" t="s">
        <v>409</v>
      </c>
      <c r="R379" s="5">
        <v>9930806006</v>
      </c>
      <c r="S379" s="5" t="s">
        <v>410</v>
      </c>
      <c r="T379" s="11" t="s">
        <v>41</v>
      </c>
      <c r="U379" s="11" t="s">
        <v>37</v>
      </c>
    </row>
    <row r="380" spans="1:21" s="1" customFormat="1" ht="26.4" x14ac:dyDescent="0.3">
      <c r="A380" s="11" t="s">
        <v>1206</v>
      </c>
      <c r="B380" s="11" t="s">
        <v>571</v>
      </c>
      <c r="C380" s="11" t="s">
        <v>37</v>
      </c>
      <c r="D380" s="5" t="s">
        <v>1007</v>
      </c>
      <c r="E380" s="11">
        <v>1</v>
      </c>
      <c r="F380" s="28" t="s">
        <v>513</v>
      </c>
      <c r="G380" s="11" t="s">
        <v>23</v>
      </c>
      <c r="H380" s="11" t="s">
        <v>408</v>
      </c>
      <c r="I380" s="11" t="s">
        <v>25</v>
      </c>
      <c r="J380" s="11" t="s">
        <v>26</v>
      </c>
      <c r="K380" s="52">
        <v>44968</v>
      </c>
      <c r="L380" s="85">
        <v>46032</v>
      </c>
      <c r="M380" s="28" t="s">
        <v>514</v>
      </c>
      <c r="N380" s="11">
        <v>7611</v>
      </c>
      <c r="O380" s="55">
        <f t="shared" si="5"/>
        <v>7611</v>
      </c>
      <c r="P380" s="11" t="s">
        <v>50</v>
      </c>
      <c r="Q380" s="43" t="s">
        <v>409</v>
      </c>
      <c r="R380" s="5">
        <v>9930806006</v>
      </c>
      <c r="S380" s="5" t="s">
        <v>410</v>
      </c>
      <c r="T380" s="11" t="s">
        <v>41</v>
      </c>
      <c r="U380" s="11" t="s">
        <v>37</v>
      </c>
    </row>
    <row r="381" spans="1:21" s="1" customFormat="1" ht="26.4" x14ac:dyDescent="0.3">
      <c r="A381" s="5" t="s">
        <v>1381</v>
      </c>
      <c r="B381" s="5" t="s">
        <v>1382</v>
      </c>
      <c r="C381" s="11" t="s">
        <v>37</v>
      </c>
      <c r="D381" s="5" t="s">
        <v>1007</v>
      </c>
      <c r="E381" s="12">
        <v>1</v>
      </c>
      <c r="F381" s="5" t="s">
        <v>1196</v>
      </c>
      <c r="G381" s="11" t="s">
        <v>23</v>
      </c>
      <c r="H381" s="11" t="s">
        <v>408</v>
      </c>
      <c r="I381" s="11" t="s">
        <v>25</v>
      </c>
      <c r="J381" s="11" t="s">
        <v>26</v>
      </c>
      <c r="K381" s="52">
        <v>41684</v>
      </c>
      <c r="L381" s="52">
        <v>46076</v>
      </c>
      <c r="M381" s="5" t="s">
        <v>1199</v>
      </c>
      <c r="N381" s="55">
        <v>3174</v>
      </c>
      <c r="O381" s="55">
        <f t="shared" ref="O381:O397" si="6">N381*E381</f>
        <v>3174</v>
      </c>
      <c r="P381" s="11"/>
      <c r="Q381" s="5" t="s">
        <v>1197</v>
      </c>
      <c r="R381" s="5" t="s">
        <v>586</v>
      </c>
      <c r="S381" s="5" t="s">
        <v>1198</v>
      </c>
      <c r="T381" s="11"/>
      <c r="U381" s="73" t="s">
        <v>508</v>
      </c>
    </row>
    <row r="382" spans="1:21" s="1" customFormat="1" ht="14.4" x14ac:dyDescent="0.3">
      <c r="A382" s="11" t="s">
        <v>518</v>
      </c>
      <c r="B382" s="5" t="s">
        <v>432</v>
      </c>
      <c r="C382" s="11" t="s">
        <v>433</v>
      </c>
      <c r="D382" s="5" t="s">
        <v>1007</v>
      </c>
      <c r="E382" s="11">
        <v>1</v>
      </c>
      <c r="F382" s="5" t="s">
        <v>1257</v>
      </c>
      <c r="G382" s="11" t="s">
        <v>23</v>
      </c>
      <c r="H382" s="5" t="s">
        <v>311</v>
      </c>
      <c r="I382" s="11" t="s">
        <v>25</v>
      </c>
      <c r="J382" s="11" t="s">
        <v>26</v>
      </c>
      <c r="K382" s="50">
        <v>45121</v>
      </c>
      <c r="L382" s="50">
        <v>46085</v>
      </c>
      <c r="M382" s="11" t="s">
        <v>1258</v>
      </c>
      <c r="N382" s="11">
        <v>4001</v>
      </c>
      <c r="O382" s="55">
        <f t="shared" si="6"/>
        <v>4001</v>
      </c>
      <c r="P382" s="11" t="s">
        <v>73</v>
      </c>
      <c r="Q382" s="43" t="s">
        <v>1259</v>
      </c>
      <c r="R382" s="5">
        <v>9820023829</v>
      </c>
      <c r="S382" s="5" t="s">
        <v>1260</v>
      </c>
      <c r="T382" s="11" t="s">
        <v>41</v>
      </c>
      <c r="U382" s="11" t="s">
        <v>37</v>
      </c>
    </row>
    <row r="383" spans="1:21" s="1" customFormat="1" ht="26.4" hidden="1" x14ac:dyDescent="0.3">
      <c r="A383" s="11" t="s">
        <v>1104</v>
      </c>
      <c r="B383" s="11" t="s">
        <v>573</v>
      </c>
      <c r="C383" s="11" t="s">
        <v>1102</v>
      </c>
      <c r="D383" s="11" t="s">
        <v>998</v>
      </c>
      <c r="E383" s="11">
        <v>2</v>
      </c>
      <c r="F383" s="11" t="s">
        <v>999</v>
      </c>
      <c r="G383" s="11" t="s">
        <v>998</v>
      </c>
      <c r="H383" s="11" t="s">
        <v>426</v>
      </c>
      <c r="I383" s="11" t="s">
        <v>25</v>
      </c>
      <c r="J383" s="11" t="s">
        <v>26</v>
      </c>
      <c r="K383" s="50">
        <v>45446</v>
      </c>
      <c r="L383" s="50">
        <v>46069</v>
      </c>
      <c r="M383" s="11" t="s">
        <v>1000</v>
      </c>
      <c r="N383" s="11">
        <v>23119</v>
      </c>
      <c r="O383" s="55">
        <f t="shared" si="6"/>
        <v>46238</v>
      </c>
      <c r="P383" s="11" t="s">
        <v>73</v>
      </c>
      <c r="Q383" s="43" t="s">
        <v>1013</v>
      </c>
      <c r="R383" s="5">
        <v>225316608</v>
      </c>
      <c r="S383" s="5" t="s">
        <v>1014</v>
      </c>
      <c r="T383" s="11" t="s">
        <v>41</v>
      </c>
      <c r="U383" s="73"/>
    </row>
    <row r="384" spans="1:21" s="1" customFormat="1" ht="26.4" x14ac:dyDescent="0.3">
      <c r="A384" s="11" t="s">
        <v>1253</v>
      </c>
      <c r="B384" s="11" t="s">
        <v>573</v>
      </c>
      <c r="C384" s="11" t="s">
        <v>574</v>
      </c>
      <c r="D384" s="5" t="s">
        <v>1007</v>
      </c>
      <c r="E384" s="11">
        <v>1</v>
      </c>
      <c r="F384" s="11" t="s">
        <v>999</v>
      </c>
      <c r="G384" s="11" t="s">
        <v>23</v>
      </c>
      <c r="H384" s="11" t="s">
        <v>426</v>
      </c>
      <c r="I384" s="11" t="s">
        <v>25</v>
      </c>
      <c r="J384" s="11" t="s">
        <v>26</v>
      </c>
      <c r="K384" s="50">
        <v>45446</v>
      </c>
      <c r="L384" s="50">
        <v>46085</v>
      </c>
      <c r="M384" s="11" t="s">
        <v>1000</v>
      </c>
      <c r="N384" s="11">
        <v>23119</v>
      </c>
      <c r="O384" s="55">
        <f t="shared" si="6"/>
        <v>23119</v>
      </c>
      <c r="P384" s="11" t="s">
        <v>73</v>
      </c>
      <c r="Q384" s="43" t="s">
        <v>1013</v>
      </c>
      <c r="R384" s="5">
        <v>225316608</v>
      </c>
      <c r="S384" s="5" t="s">
        <v>1014</v>
      </c>
      <c r="T384" s="11" t="s">
        <v>41</v>
      </c>
      <c r="U384" s="73" t="s">
        <v>572</v>
      </c>
    </row>
    <row r="385" spans="1:21" s="1" customFormat="1" ht="26.4" x14ac:dyDescent="0.3">
      <c r="A385" s="11" t="s">
        <v>1208</v>
      </c>
      <c r="B385" s="11" t="s">
        <v>1005</v>
      </c>
      <c r="C385" s="11" t="s">
        <v>540</v>
      </c>
      <c r="D385" s="5" t="s">
        <v>1007</v>
      </c>
      <c r="E385" s="11">
        <v>1</v>
      </c>
      <c r="F385" s="31" t="s">
        <v>999</v>
      </c>
      <c r="G385" s="11" t="s">
        <v>23</v>
      </c>
      <c r="H385" s="11" t="s">
        <v>426</v>
      </c>
      <c r="I385" s="11" t="s">
        <v>25</v>
      </c>
      <c r="J385" s="11" t="s">
        <v>26</v>
      </c>
      <c r="K385" s="50">
        <v>45446</v>
      </c>
      <c r="L385" s="50">
        <v>46069</v>
      </c>
      <c r="M385" s="11" t="s">
        <v>1000</v>
      </c>
      <c r="N385" s="11">
        <v>25272</v>
      </c>
      <c r="O385" s="55">
        <f t="shared" si="6"/>
        <v>25272</v>
      </c>
      <c r="P385" s="11" t="s">
        <v>50</v>
      </c>
      <c r="Q385" s="43" t="s">
        <v>1013</v>
      </c>
      <c r="R385" s="5">
        <v>225316608</v>
      </c>
      <c r="S385" s="5" t="s">
        <v>1014</v>
      </c>
      <c r="T385" s="11" t="s">
        <v>41</v>
      </c>
      <c r="U385" s="73" t="s">
        <v>575</v>
      </c>
    </row>
    <row r="386" spans="1:21" s="1" customFormat="1" ht="26.4" x14ac:dyDescent="0.3">
      <c r="A386" s="11" t="s">
        <v>576</v>
      </c>
      <c r="B386" s="11" t="s">
        <v>509</v>
      </c>
      <c r="C386" s="11" t="s">
        <v>439</v>
      </c>
      <c r="D386" s="11" t="s">
        <v>931</v>
      </c>
      <c r="E386" s="11">
        <v>1</v>
      </c>
      <c r="F386" s="11" t="s">
        <v>1196</v>
      </c>
      <c r="G386" s="11" t="s">
        <v>23</v>
      </c>
      <c r="H386" s="11" t="s">
        <v>408</v>
      </c>
      <c r="I386" s="11" t="s">
        <v>25</v>
      </c>
      <c r="J386" s="11" t="s">
        <v>26</v>
      </c>
      <c r="K386" s="51">
        <v>43629</v>
      </c>
      <c r="L386" s="50">
        <v>46079</v>
      </c>
      <c r="M386" s="11">
        <v>8</v>
      </c>
      <c r="N386" s="56">
        <v>10550</v>
      </c>
      <c r="O386" s="55">
        <f t="shared" si="6"/>
        <v>10550</v>
      </c>
      <c r="P386" s="5" t="s">
        <v>73</v>
      </c>
      <c r="Q386" s="5" t="s">
        <v>1197</v>
      </c>
      <c r="R386" s="5" t="s">
        <v>586</v>
      </c>
      <c r="S386" s="5" t="s">
        <v>1198</v>
      </c>
      <c r="T386" s="11"/>
      <c r="U386" s="73" t="s">
        <v>576</v>
      </c>
    </row>
    <row r="387" spans="1:21" s="1" customFormat="1" ht="26.4" x14ac:dyDescent="0.3">
      <c r="A387" s="11" t="s">
        <v>576</v>
      </c>
      <c r="B387" s="11" t="s">
        <v>509</v>
      </c>
      <c r="C387" s="11" t="s">
        <v>439</v>
      </c>
      <c r="D387" s="11" t="s">
        <v>931</v>
      </c>
      <c r="E387" s="11">
        <v>3</v>
      </c>
      <c r="F387" s="11" t="s">
        <v>1196</v>
      </c>
      <c r="G387" s="11" t="s">
        <v>23</v>
      </c>
      <c r="H387" s="11" t="s">
        <v>408</v>
      </c>
      <c r="I387" s="11" t="s">
        <v>25</v>
      </c>
      <c r="J387" s="11" t="s">
        <v>26</v>
      </c>
      <c r="K387" s="51">
        <v>43186</v>
      </c>
      <c r="L387" s="50">
        <v>46079</v>
      </c>
      <c r="M387" s="38">
        <v>180029</v>
      </c>
      <c r="N387" s="56">
        <v>11000</v>
      </c>
      <c r="O387" s="55">
        <f t="shared" si="6"/>
        <v>33000</v>
      </c>
      <c r="P387" s="5" t="s">
        <v>73</v>
      </c>
      <c r="Q387" s="5" t="s">
        <v>1197</v>
      </c>
      <c r="R387" s="5" t="s">
        <v>586</v>
      </c>
      <c r="S387" s="5" t="s">
        <v>1198</v>
      </c>
      <c r="T387" s="11"/>
      <c r="U387" s="73" t="s">
        <v>576</v>
      </c>
    </row>
    <row r="388" spans="1:21" s="1" customFormat="1" ht="26.4" x14ac:dyDescent="0.3">
      <c r="A388" s="11" t="s">
        <v>1209</v>
      </c>
      <c r="B388" s="11" t="s">
        <v>1209</v>
      </c>
      <c r="C388" s="11" t="s">
        <v>579</v>
      </c>
      <c r="D388" s="11" t="s">
        <v>931</v>
      </c>
      <c r="E388" s="11">
        <v>2</v>
      </c>
      <c r="F388" s="11" t="s">
        <v>999</v>
      </c>
      <c r="G388" s="11" t="s">
        <v>23</v>
      </c>
      <c r="H388" s="11" t="s">
        <v>311</v>
      </c>
      <c r="I388" s="11" t="s">
        <v>25</v>
      </c>
      <c r="J388" s="11" t="s">
        <v>26</v>
      </c>
      <c r="K388" s="50">
        <v>45446</v>
      </c>
      <c r="L388" s="50">
        <v>46069</v>
      </c>
      <c r="M388" s="11" t="s">
        <v>1000</v>
      </c>
      <c r="N388" s="11">
        <v>23119</v>
      </c>
      <c r="O388" s="55">
        <f t="shared" si="6"/>
        <v>46238</v>
      </c>
      <c r="P388" s="11" t="s">
        <v>73</v>
      </c>
      <c r="Q388" s="43" t="s">
        <v>1013</v>
      </c>
      <c r="R388" s="5">
        <v>225316608</v>
      </c>
      <c r="S388" s="5" t="s">
        <v>1014</v>
      </c>
      <c r="T388" s="11" t="s">
        <v>41</v>
      </c>
      <c r="U388" s="73" t="s">
        <v>578</v>
      </c>
    </row>
    <row r="389" spans="1:21" s="1" customFormat="1" ht="26.4" x14ac:dyDescent="0.3">
      <c r="A389" s="11" t="s">
        <v>505</v>
      </c>
      <c r="B389" s="5" t="s">
        <v>1098</v>
      </c>
      <c r="C389" s="11" t="s">
        <v>446</v>
      </c>
      <c r="D389" s="11" t="s">
        <v>931</v>
      </c>
      <c r="E389" s="11">
        <v>1</v>
      </c>
      <c r="F389" s="5" t="s">
        <v>425</v>
      </c>
      <c r="G389" s="11" t="s">
        <v>23</v>
      </c>
      <c r="H389" s="11" t="s">
        <v>426</v>
      </c>
      <c r="I389" s="11" t="s">
        <v>25</v>
      </c>
      <c r="J389" s="11" t="s">
        <v>26</v>
      </c>
      <c r="K389" s="52">
        <v>45512</v>
      </c>
      <c r="L389" s="50">
        <v>46215</v>
      </c>
      <c r="M389" s="5" t="s">
        <v>1093</v>
      </c>
      <c r="N389" s="5">
        <v>5600</v>
      </c>
      <c r="O389" s="55">
        <f t="shared" si="6"/>
        <v>5600</v>
      </c>
      <c r="P389" s="11" t="s">
        <v>73</v>
      </c>
      <c r="Q389" s="43" t="s">
        <v>428</v>
      </c>
      <c r="R389" s="5" t="s">
        <v>429</v>
      </c>
      <c r="S389" s="5" t="s">
        <v>430</v>
      </c>
      <c r="T389" s="5" t="s">
        <v>41</v>
      </c>
      <c r="U389" s="73" t="s">
        <v>581</v>
      </c>
    </row>
    <row r="390" spans="1:21" s="1" customFormat="1" ht="14.4" x14ac:dyDescent="0.3">
      <c r="A390" s="26" t="s">
        <v>966</v>
      </c>
      <c r="B390" s="26" t="s">
        <v>967</v>
      </c>
      <c r="C390" s="11" t="s">
        <v>406</v>
      </c>
      <c r="D390" s="11" t="s">
        <v>1335</v>
      </c>
      <c r="E390" s="11">
        <v>2</v>
      </c>
      <c r="F390" s="28" t="s">
        <v>513</v>
      </c>
      <c r="G390" s="11" t="s">
        <v>23</v>
      </c>
      <c r="H390" s="11" t="s">
        <v>408</v>
      </c>
      <c r="I390" s="11" t="s">
        <v>25</v>
      </c>
      <c r="J390" s="11" t="s">
        <v>26</v>
      </c>
      <c r="K390" s="85">
        <v>44968</v>
      </c>
      <c r="L390" s="85">
        <v>46022</v>
      </c>
      <c r="M390" s="28" t="s">
        <v>514</v>
      </c>
      <c r="N390" s="88">
        <f>17950+3231</f>
        <v>21181</v>
      </c>
      <c r="O390" s="55">
        <f t="shared" si="6"/>
        <v>42362</v>
      </c>
      <c r="P390" s="11" t="s">
        <v>73</v>
      </c>
      <c r="Q390" s="78" t="s">
        <v>409</v>
      </c>
      <c r="R390" s="26">
        <v>9930806009</v>
      </c>
      <c r="S390" s="26" t="s">
        <v>515</v>
      </c>
      <c r="T390" s="5" t="s">
        <v>41</v>
      </c>
      <c r="U390" s="73" t="s">
        <v>966</v>
      </c>
    </row>
    <row r="391" spans="1:21" s="1" customFormat="1" ht="14.4" x14ac:dyDescent="0.3">
      <c r="A391" s="11" t="s">
        <v>583</v>
      </c>
      <c r="B391" s="11" t="s">
        <v>583</v>
      </c>
      <c r="C391" s="11" t="s">
        <v>406</v>
      </c>
      <c r="D391" s="11" t="s">
        <v>1335</v>
      </c>
      <c r="E391" s="11">
        <v>1</v>
      </c>
      <c r="F391" s="5" t="s">
        <v>584</v>
      </c>
      <c r="G391" s="11" t="s">
        <v>23</v>
      </c>
      <c r="H391" s="11" t="s">
        <v>408</v>
      </c>
      <c r="I391" s="11" t="s">
        <v>25</v>
      </c>
      <c r="J391" s="11" t="s">
        <v>26</v>
      </c>
      <c r="K391" s="52">
        <v>41613</v>
      </c>
      <c r="L391" s="50">
        <v>46041</v>
      </c>
      <c r="M391" s="11">
        <v>62</v>
      </c>
      <c r="N391" s="55">
        <v>2821</v>
      </c>
      <c r="O391" s="55">
        <f t="shared" si="6"/>
        <v>2821</v>
      </c>
      <c r="P391" s="11" t="s">
        <v>73</v>
      </c>
      <c r="Q391" s="26" t="s">
        <v>585</v>
      </c>
      <c r="R391" s="26" t="s">
        <v>586</v>
      </c>
      <c r="S391" s="26" t="s">
        <v>37</v>
      </c>
      <c r="T391" s="11" t="s">
        <v>37</v>
      </c>
      <c r="U391" s="73" t="s">
        <v>583</v>
      </c>
    </row>
    <row r="392" spans="1:21" s="1" customFormat="1" ht="14.4" x14ac:dyDescent="0.3">
      <c r="A392" s="11" t="s">
        <v>587</v>
      </c>
      <c r="B392" s="11" t="s">
        <v>587</v>
      </c>
      <c r="C392" s="11" t="s">
        <v>406</v>
      </c>
      <c r="D392" s="11" t="s">
        <v>931</v>
      </c>
      <c r="E392" s="11">
        <v>1</v>
      </c>
      <c r="F392" s="5" t="s">
        <v>588</v>
      </c>
      <c r="G392" s="11" t="s">
        <v>23</v>
      </c>
      <c r="H392" s="11" t="s">
        <v>408</v>
      </c>
      <c r="I392" s="11" t="s">
        <v>25</v>
      </c>
      <c r="J392" s="11" t="s">
        <v>26</v>
      </c>
      <c r="K392" s="59">
        <v>42632</v>
      </c>
      <c r="L392" s="50">
        <v>46045</v>
      </c>
      <c r="M392" s="11" t="s">
        <v>589</v>
      </c>
      <c r="N392" s="32">
        <v>10936</v>
      </c>
      <c r="O392" s="55">
        <f t="shared" si="6"/>
        <v>10936</v>
      </c>
      <c r="P392" s="11" t="s">
        <v>73</v>
      </c>
      <c r="Q392" s="26" t="s">
        <v>585</v>
      </c>
      <c r="R392" s="26" t="s">
        <v>586</v>
      </c>
      <c r="S392" s="26" t="s">
        <v>37</v>
      </c>
      <c r="T392" s="11" t="s">
        <v>37</v>
      </c>
      <c r="U392" s="73" t="s">
        <v>587</v>
      </c>
    </row>
    <row r="393" spans="1:21" s="1" customFormat="1" ht="26.4" x14ac:dyDescent="0.3">
      <c r="A393" s="11" t="s">
        <v>482</v>
      </c>
      <c r="B393" s="5" t="s">
        <v>1261</v>
      </c>
      <c r="C393" s="5" t="s">
        <v>483</v>
      </c>
      <c r="D393" s="11" t="s">
        <v>931</v>
      </c>
      <c r="E393" s="12">
        <v>8</v>
      </c>
      <c r="F393" s="5" t="s">
        <v>1257</v>
      </c>
      <c r="G393" s="11" t="s">
        <v>23</v>
      </c>
      <c r="H393" s="11" t="s">
        <v>311</v>
      </c>
      <c r="I393" s="11" t="s">
        <v>25</v>
      </c>
      <c r="J393" s="11" t="s">
        <v>26</v>
      </c>
      <c r="K393" s="52">
        <v>45121</v>
      </c>
      <c r="L393" s="52">
        <v>46085</v>
      </c>
      <c r="M393" s="5" t="s">
        <v>1258</v>
      </c>
      <c r="N393" s="5">
        <v>1169.7</v>
      </c>
      <c r="O393" s="55">
        <f t="shared" si="6"/>
        <v>9357.6</v>
      </c>
      <c r="P393" s="11"/>
      <c r="Q393" s="43" t="s">
        <v>1259</v>
      </c>
      <c r="R393" s="5">
        <v>9820023829</v>
      </c>
      <c r="S393" s="5" t="s">
        <v>1260</v>
      </c>
      <c r="T393" s="5" t="s">
        <v>41</v>
      </c>
      <c r="U393" s="73" t="s">
        <v>482</v>
      </c>
    </row>
    <row r="394" spans="1:21" s="1" customFormat="1" ht="14.4" x14ac:dyDescent="0.3">
      <c r="A394" s="31" t="s">
        <v>954</v>
      </c>
      <c r="B394" s="11" t="s">
        <v>509</v>
      </c>
      <c r="C394" s="11" t="s">
        <v>406</v>
      </c>
      <c r="D394" s="11" t="s">
        <v>590</v>
      </c>
      <c r="E394" s="11">
        <v>1</v>
      </c>
      <c r="F394" s="5" t="s">
        <v>584</v>
      </c>
      <c r="G394" s="11" t="s">
        <v>23</v>
      </c>
      <c r="H394" s="11" t="s">
        <v>408</v>
      </c>
      <c r="I394" s="11" t="s">
        <v>25</v>
      </c>
      <c r="J394" s="11" t="s">
        <v>26</v>
      </c>
      <c r="K394" s="50">
        <v>44055</v>
      </c>
      <c r="L394" s="50">
        <v>46041</v>
      </c>
      <c r="M394" s="11">
        <v>2602</v>
      </c>
      <c r="N394" s="54">
        <v>6530</v>
      </c>
      <c r="O394" s="55">
        <f t="shared" si="6"/>
        <v>6530</v>
      </c>
      <c r="P394" s="11" t="s">
        <v>50</v>
      </c>
      <c r="Q394" s="26" t="s">
        <v>585</v>
      </c>
      <c r="R394" s="26" t="s">
        <v>586</v>
      </c>
      <c r="S394" s="26" t="s">
        <v>37</v>
      </c>
      <c r="T394" s="11" t="s">
        <v>37</v>
      </c>
      <c r="U394" s="73" t="s">
        <v>561</v>
      </c>
    </row>
    <row r="395" spans="1:21" s="1" customFormat="1" ht="14.4" x14ac:dyDescent="0.3">
      <c r="A395" s="5" t="s">
        <v>1060</v>
      </c>
      <c r="B395" s="11" t="s">
        <v>591</v>
      </c>
      <c r="C395" s="11" t="s">
        <v>558</v>
      </c>
      <c r="D395" s="11" t="s">
        <v>590</v>
      </c>
      <c r="E395" s="11">
        <v>1</v>
      </c>
      <c r="F395" s="11" t="s">
        <v>37</v>
      </c>
      <c r="G395" s="11" t="s">
        <v>23</v>
      </c>
      <c r="H395" s="11" t="s">
        <v>426</v>
      </c>
      <c r="I395" s="11" t="s">
        <v>25</v>
      </c>
      <c r="J395" s="11" t="s">
        <v>26</v>
      </c>
      <c r="K395" s="50">
        <v>43676</v>
      </c>
      <c r="L395" s="59">
        <v>46068</v>
      </c>
      <c r="M395" s="5" t="s">
        <v>592</v>
      </c>
      <c r="N395" s="11">
        <v>40800</v>
      </c>
      <c r="O395" s="55">
        <f t="shared" si="6"/>
        <v>40800</v>
      </c>
      <c r="P395" s="11" t="s">
        <v>73</v>
      </c>
      <c r="Q395" s="11" t="s">
        <v>37</v>
      </c>
      <c r="R395" s="11" t="s">
        <v>37</v>
      </c>
      <c r="S395" s="11" t="s">
        <v>37</v>
      </c>
      <c r="T395" s="11" t="s">
        <v>58</v>
      </c>
      <c r="U395" s="73" t="s">
        <v>591</v>
      </c>
    </row>
    <row r="396" spans="1:21" s="1" customFormat="1" ht="26.4" x14ac:dyDescent="0.3">
      <c r="A396" s="11" t="s">
        <v>508</v>
      </c>
      <c r="B396" s="11" t="s">
        <v>593</v>
      </c>
      <c r="C396" s="11" t="s">
        <v>406</v>
      </c>
      <c r="D396" s="11" t="s">
        <v>590</v>
      </c>
      <c r="E396" s="11">
        <v>1</v>
      </c>
      <c r="F396" s="11" t="s">
        <v>1196</v>
      </c>
      <c r="G396" s="11" t="s">
        <v>23</v>
      </c>
      <c r="H396" s="11" t="s">
        <v>408</v>
      </c>
      <c r="I396" s="11" t="s">
        <v>25</v>
      </c>
      <c r="J396" s="11" t="s">
        <v>26</v>
      </c>
      <c r="K396" s="51">
        <v>44055</v>
      </c>
      <c r="L396" s="50">
        <v>46079</v>
      </c>
      <c r="M396" s="38">
        <v>2602</v>
      </c>
      <c r="N396" s="56">
        <v>6530</v>
      </c>
      <c r="O396" s="55">
        <f t="shared" si="6"/>
        <v>6530</v>
      </c>
      <c r="P396" s="11" t="s">
        <v>50</v>
      </c>
      <c r="Q396" s="5" t="s">
        <v>1197</v>
      </c>
      <c r="R396" s="5" t="s">
        <v>586</v>
      </c>
      <c r="S396" s="5" t="s">
        <v>1198</v>
      </c>
      <c r="T396" s="11"/>
      <c r="U396" s="73" t="s">
        <v>508</v>
      </c>
    </row>
    <row r="397" spans="1:21" s="1" customFormat="1" ht="26.4" x14ac:dyDescent="0.3">
      <c r="A397" s="31" t="s">
        <v>956</v>
      </c>
      <c r="B397" s="31" t="s">
        <v>957</v>
      </c>
      <c r="C397" s="11" t="s">
        <v>406</v>
      </c>
      <c r="D397" s="11" t="s">
        <v>590</v>
      </c>
      <c r="E397" s="11">
        <v>1</v>
      </c>
      <c r="F397" s="5" t="s">
        <v>821</v>
      </c>
      <c r="G397" s="11" t="s">
        <v>23</v>
      </c>
      <c r="H397" s="11" t="s">
        <v>408</v>
      </c>
      <c r="I397" s="11" t="s">
        <v>25</v>
      </c>
      <c r="J397" s="11" t="s">
        <v>26</v>
      </c>
      <c r="K397" s="52">
        <v>45678</v>
      </c>
      <c r="L397" s="52">
        <v>46035</v>
      </c>
      <c r="M397" s="5" t="s">
        <v>867</v>
      </c>
      <c r="N397" s="55">
        <v>21000</v>
      </c>
      <c r="O397" s="55">
        <f t="shared" si="6"/>
        <v>21000</v>
      </c>
      <c r="P397" s="11" t="s">
        <v>50</v>
      </c>
      <c r="Q397" s="43" t="s">
        <v>823</v>
      </c>
      <c r="R397" s="5">
        <v>9820797926</v>
      </c>
      <c r="S397" s="5" t="s">
        <v>868</v>
      </c>
      <c r="T397" s="5" t="s">
        <v>941</v>
      </c>
      <c r="U397" s="73" t="s">
        <v>545</v>
      </c>
    </row>
    <row r="398" spans="1:21" s="1" customFormat="1" ht="14.4" x14ac:dyDescent="0.3">
      <c r="A398" s="11" t="s">
        <v>412</v>
      </c>
      <c r="B398" s="11" t="s">
        <v>594</v>
      </c>
      <c r="C398" s="11" t="s">
        <v>564</v>
      </c>
      <c r="D398" s="11" t="s">
        <v>590</v>
      </c>
      <c r="E398" s="11">
        <v>1</v>
      </c>
      <c r="F398" s="11"/>
      <c r="G398" s="11" t="s">
        <v>23</v>
      </c>
      <c r="H398" s="5" t="s">
        <v>580</v>
      </c>
      <c r="I398" s="11" t="s">
        <v>343</v>
      </c>
      <c r="J398" s="11" t="s">
        <v>26</v>
      </c>
      <c r="K398" s="11" t="s">
        <v>37</v>
      </c>
      <c r="L398" s="50">
        <v>46099</v>
      </c>
      <c r="M398" s="11" t="s">
        <v>37</v>
      </c>
      <c r="N398" s="11" t="s">
        <v>37</v>
      </c>
      <c r="O398" s="11" t="s">
        <v>37</v>
      </c>
      <c r="P398" s="11" t="s">
        <v>1170</v>
      </c>
      <c r="Q398" s="11" t="s">
        <v>37</v>
      </c>
      <c r="R398" s="11" t="s">
        <v>37</v>
      </c>
      <c r="S398" s="11" t="s">
        <v>37</v>
      </c>
      <c r="T398" s="11" t="s">
        <v>37</v>
      </c>
      <c r="U398" s="73" t="s">
        <v>595</v>
      </c>
    </row>
    <row r="399" spans="1:21" s="1" customFormat="1" ht="14.4" x14ac:dyDescent="0.3">
      <c r="A399" s="11" t="s">
        <v>412</v>
      </c>
      <c r="B399" s="11" t="s">
        <v>596</v>
      </c>
      <c r="C399" s="11" t="s">
        <v>597</v>
      </c>
      <c r="D399" s="11" t="s">
        <v>590</v>
      </c>
      <c r="E399" s="11">
        <v>1</v>
      </c>
      <c r="F399" s="26" t="s">
        <v>784</v>
      </c>
      <c r="G399" s="11" t="s">
        <v>23</v>
      </c>
      <c r="H399" s="5" t="s">
        <v>580</v>
      </c>
      <c r="I399" s="11" t="s">
        <v>25</v>
      </c>
      <c r="J399" s="11" t="s">
        <v>26</v>
      </c>
      <c r="K399" s="53">
        <v>45427</v>
      </c>
      <c r="L399" s="57">
        <v>46039</v>
      </c>
      <c r="M399" s="31">
        <v>18</v>
      </c>
      <c r="N399" s="31">
        <v>42174</v>
      </c>
      <c r="O399" s="55">
        <f t="shared" ref="O399:O432" si="7">N399*E399</f>
        <v>42174</v>
      </c>
      <c r="P399" s="11" t="s">
        <v>73</v>
      </c>
      <c r="Q399" s="47" t="s">
        <v>522</v>
      </c>
      <c r="R399" s="31">
        <v>9324349923</v>
      </c>
      <c r="S399" s="31" t="s">
        <v>523</v>
      </c>
      <c r="T399" s="53" t="s">
        <v>942</v>
      </c>
      <c r="U399" s="73" t="s">
        <v>598</v>
      </c>
    </row>
    <row r="400" spans="1:21" s="1" customFormat="1" ht="14.4" x14ac:dyDescent="0.3">
      <c r="A400" s="11" t="s">
        <v>599</v>
      </c>
      <c r="B400" s="11" t="s">
        <v>599</v>
      </c>
      <c r="C400" s="11" t="s">
        <v>406</v>
      </c>
      <c r="D400" s="11" t="s">
        <v>590</v>
      </c>
      <c r="E400" s="12">
        <v>1</v>
      </c>
      <c r="F400" s="89"/>
      <c r="G400" s="11" t="s">
        <v>23</v>
      </c>
      <c r="H400" s="5" t="s">
        <v>580</v>
      </c>
      <c r="I400" s="11" t="s">
        <v>25</v>
      </c>
      <c r="J400" s="11" t="s">
        <v>26</v>
      </c>
      <c r="K400" s="11" t="s">
        <v>37</v>
      </c>
      <c r="L400" s="50">
        <v>46104</v>
      </c>
      <c r="M400" s="11" t="s">
        <v>37</v>
      </c>
      <c r="N400" s="11">
        <v>0</v>
      </c>
      <c r="O400" s="55">
        <f t="shared" si="7"/>
        <v>0</v>
      </c>
      <c r="P400" s="11"/>
      <c r="Q400" s="11" t="s">
        <v>37</v>
      </c>
      <c r="R400" s="11" t="s">
        <v>37</v>
      </c>
      <c r="S400" s="11" t="s">
        <v>37</v>
      </c>
      <c r="T400" s="11" t="s">
        <v>37</v>
      </c>
      <c r="U400" s="73" t="s">
        <v>599</v>
      </c>
    </row>
    <row r="401" spans="1:21" s="1" customFormat="1" ht="14.4" x14ac:dyDescent="0.3">
      <c r="A401" s="11" t="s">
        <v>431</v>
      </c>
      <c r="B401" s="5" t="s">
        <v>432</v>
      </c>
      <c r="C401" s="11" t="s">
        <v>600</v>
      </c>
      <c r="D401" s="11" t="s">
        <v>590</v>
      </c>
      <c r="E401" s="11">
        <v>4</v>
      </c>
      <c r="F401" s="5" t="s">
        <v>1257</v>
      </c>
      <c r="G401" s="11" t="s">
        <v>23</v>
      </c>
      <c r="H401" s="5" t="s">
        <v>311</v>
      </c>
      <c r="I401" s="11" t="s">
        <v>25</v>
      </c>
      <c r="J401" s="11" t="s">
        <v>26</v>
      </c>
      <c r="K401" s="50">
        <v>45121</v>
      </c>
      <c r="L401" s="50">
        <v>46085</v>
      </c>
      <c r="M401" s="11" t="s">
        <v>1258</v>
      </c>
      <c r="N401" s="11">
        <v>4001</v>
      </c>
      <c r="O401" s="55">
        <f t="shared" si="7"/>
        <v>16004</v>
      </c>
      <c r="P401" s="11" t="s">
        <v>73</v>
      </c>
      <c r="Q401" s="43" t="s">
        <v>1259</v>
      </c>
      <c r="R401" s="5">
        <v>9820023829</v>
      </c>
      <c r="S401" s="5" t="s">
        <v>1260</v>
      </c>
      <c r="T401" s="11" t="s">
        <v>41</v>
      </c>
      <c r="U401" s="73" t="s">
        <v>431</v>
      </c>
    </row>
    <row r="402" spans="1:21" s="1" customFormat="1" ht="14.4" x14ac:dyDescent="0.3">
      <c r="A402" s="11" t="s">
        <v>601</v>
      </c>
      <c r="B402" s="11" t="s">
        <v>1315</v>
      </c>
      <c r="C402" s="11" t="s">
        <v>602</v>
      </c>
      <c r="D402" s="11" t="s">
        <v>590</v>
      </c>
      <c r="E402" s="11">
        <v>1</v>
      </c>
      <c r="F402" s="11" t="s">
        <v>603</v>
      </c>
      <c r="G402" s="11" t="s">
        <v>23</v>
      </c>
      <c r="H402" s="11" t="s">
        <v>24</v>
      </c>
      <c r="I402" s="11" t="s">
        <v>25</v>
      </c>
      <c r="J402" s="11" t="s">
        <v>26</v>
      </c>
      <c r="K402" s="50">
        <v>45281</v>
      </c>
      <c r="L402" s="50">
        <v>46051</v>
      </c>
      <c r="M402" s="11" t="s">
        <v>1367</v>
      </c>
      <c r="N402" s="54">
        <v>630000</v>
      </c>
      <c r="O402" s="55">
        <f t="shared" si="7"/>
        <v>630000</v>
      </c>
      <c r="P402" s="11" t="s">
        <v>50</v>
      </c>
      <c r="Q402" s="90" t="s">
        <v>605</v>
      </c>
      <c r="R402" s="26" t="s">
        <v>606</v>
      </c>
      <c r="S402" s="26" t="s">
        <v>607</v>
      </c>
      <c r="T402" s="11" t="s">
        <v>41</v>
      </c>
      <c r="U402" s="73" t="s">
        <v>601</v>
      </c>
    </row>
    <row r="403" spans="1:21" s="1" customFormat="1" ht="26.4" x14ac:dyDescent="0.3">
      <c r="A403" s="11" t="s">
        <v>608</v>
      </c>
      <c r="B403" s="5" t="s">
        <v>1316</v>
      </c>
      <c r="C403" s="11" t="s">
        <v>992</v>
      </c>
      <c r="D403" s="11" t="s">
        <v>590</v>
      </c>
      <c r="E403" s="11">
        <v>1</v>
      </c>
      <c r="F403" s="11" t="s">
        <v>603</v>
      </c>
      <c r="G403" s="11" t="s">
        <v>23</v>
      </c>
      <c r="H403" s="11" t="s">
        <v>24</v>
      </c>
      <c r="I403" s="11" t="s">
        <v>25</v>
      </c>
      <c r="J403" s="11" t="s">
        <v>26</v>
      </c>
      <c r="K403" s="50">
        <v>45281</v>
      </c>
      <c r="L403" s="50">
        <v>46051</v>
      </c>
      <c r="M403" s="11" t="s">
        <v>1367</v>
      </c>
      <c r="N403" s="54">
        <v>244400</v>
      </c>
      <c r="O403" s="55">
        <f t="shared" si="7"/>
        <v>244400</v>
      </c>
      <c r="P403" s="11" t="s">
        <v>50</v>
      </c>
      <c r="Q403" s="90" t="s">
        <v>605</v>
      </c>
      <c r="R403" s="26" t="s">
        <v>606</v>
      </c>
      <c r="S403" s="26" t="s">
        <v>607</v>
      </c>
      <c r="T403" s="11" t="s">
        <v>41</v>
      </c>
      <c r="U403" s="73" t="s">
        <v>608</v>
      </c>
    </row>
    <row r="404" spans="1:21" s="1" customFormat="1" ht="26.4" x14ac:dyDescent="0.3">
      <c r="A404" s="11" t="s">
        <v>993</v>
      </c>
      <c r="B404" s="11" t="s">
        <v>994</v>
      </c>
      <c r="C404" s="11" t="s">
        <v>602</v>
      </c>
      <c r="D404" s="11" t="s">
        <v>590</v>
      </c>
      <c r="E404" s="11">
        <v>1</v>
      </c>
      <c r="F404" s="11" t="s">
        <v>603</v>
      </c>
      <c r="G404" s="11" t="s">
        <v>23</v>
      </c>
      <c r="H404" s="11" t="s">
        <v>24</v>
      </c>
      <c r="I404" s="11" t="s">
        <v>25</v>
      </c>
      <c r="J404" s="11" t="s">
        <v>26</v>
      </c>
      <c r="K404" s="50">
        <v>45336</v>
      </c>
      <c r="L404" s="50">
        <v>45322</v>
      </c>
      <c r="M404" s="11" t="s">
        <v>1367</v>
      </c>
      <c r="N404" s="11">
        <v>138000</v>
      </c>
      <c r="O404" s="55">
        <f t="shared" si="7"/>
        <v>138000</v>
      </c>
      <c r="P404" s="11" t="s">
        <v>73</v>
      </c>
      <c r="Q404" s="45" t="s">
        <v>605</v>
      </c>
      <c r="R404" s="5" t="s">
        <v>606</v>
      </c>
      <c r="S404" s="5" t="s">
        <v>607</v>
      </c>
      <c r="T404" s="11" t="s">
        <v>41</v>
      </c>
      <c r="U404" s="73" t="s">
        <v>609</v>
      </c>
    </row>
    <row r="405" spans="1:21" s="1" customFormat="1" ht="26.4" x14ac:dyDescent="0.3">
      <c r="A405" s="11" t="s">
        <v>1294</v>
      </c>
      <c r="B405" s="24" t="s">
        <v>1290</v>
      </c>
      <c r="C405" s="11" t="s">
        <v>37</v>
      </c>
      <c r="D405" s="11" t="s">
        <v>620</v>
      </c>
      <c r="E405" s="11">
        <v>1</v>
      </c>
      <c r="F405" s="11" t="s">
        <v>907</v>
      </c>
      <c r="G405" s="11" t="s">
        <v>23</v>
      </c>
      <c r="H405" s="11" t="s">
        <v>24</v>
      </c>
      <c r="I405" s="11" t="s">
        <v>25</v>
      </c>
      <c r="J405" s="11" t="s">
        <v>26</v>
      </c>
      <c r="K405" s="50">
        <v>45288</v>
      </c>
      <c r="L405" s="50">
        <v>46086</v>
      </c>
      <c r="M405" s="11" t="s">
        <v>1276</v>
      </c>
      <c r="N405" s="11">
        <v>286494</v>
      </c>
      <c r="O405" s="55">
        <f t="shared" si="7"/>
        <v>286494</v>
      </c>
      <c r="P405" s="11" t="s">
        <v>50</v>
      </c>
      <c r="Q405" s="45" t="s">
        <v>908</v>
      </c>
      <c r="R405" s="5" t="s">
        <v>909</v>
      </c>
      <c r="S405" s="5" t="s">
        <v>1279</v>
      </c>
      <c r="T405" s="11" t="s">
        <v>41</v>
      </c>
      <c r="U405" s="73"/>
    </row>
    <row r="406" spans="1:21" s="1" customFormat="1" ht="26.4" x14ac:dyDescent="0.3">
      <c r="A406" s="11" t="s">
        <v>1293</v>
      </c>
      <c r="B406" s="24" t="s">
        <v>1290</v>
      </c>
      <c r="C406" s="24" t="s">
        <v>37</v>
      </c>
      <c r="D406" s="11" t="s">
        <v>620</v>
      </c>
      <c r="E406" s="11">
        <v>1</v>
      </c>
      <c r="F406" s="11" t="s">
        <v>907</v>
      </c>
      <c r="G406" s="11" t="s">
        <v>23</v>
      </c>
      <c r="H406" s="11" t="s">
        <v>24</v>
      </c>
      <c r="I406" s="11" t="s">
        <v>25</v>
      </c>
      <c r="J406" s="11" t="s">
        <v>26</v>
      </c>
      <c r="K406" s="50">
        <v>45288</v>
      </c>
      <c r="L406" s="50">
        <v>46086</v>
      </c>
      <c r="M406" s="11" t="s">
        <v>1276</v>
      </c>
      <c r="N406" s="11">
        <v>286494</v>
      </c>
      <c r="O406" s="55">
        <f t="shared" si="7"/>
        <v>286494</v>
      </c>
      <c r="P406" s="11" t="s">
        <v>50</v>
      </c>
      <c r="Q406" s="45" t="s">
        <v>908</v>
      </c>
      <c r="R406" s="5" t="s">
        <v>909</v>
      </c>
      <c r="S406" s="5" t="s">
        <v>1279</v>
      </c>
      <c r="T406" s="11" t="s">
        <v>41</v>
      </c>
      <c r="U406" s="73"/>
    </row>
    <row r="407" spans="1:21" s="1" customFormat="1" ht="26.4" x14ac:dyDescent="0.3">
      <c r="A407" s="11" t="s">
        <v>988</v>
      </c>
      <c r="B407" s="11" t="s">
        <v>1317</v>
      </c>
      <c r="C407" s="11" t="s">
        <v>987</v>
      </c>
      <c r="D407" s="11" t="s">
        <v>620</v>
      </c>
      <c r="E407" s="11">
        <v>1</v>
      </c>
      <c r="F407" s="11" t="s">
        <v>603</v>
      </c>
      <c r="G407" s="11" t="s">
        <v>23</v>
      </c>
      <c r="H407" s="11" t="s">
        <v>24</v>
      </c>
      <c r="I407" s="11" t="s">
        <v>25</v>
      </c>
      <c r="J407" s="11" t="s">
        <v>26</v>
      </c>
      <c r="K407" s="50">
        <v>45322</v>
      </c>
      <c r="L407" s="50">
        <v>46069</v>
      </c>
      <c r="M407" s="11" t="s">
        <v>989</v>
      </c>
      <c r="N407" s="54">
        <v>332000</v>
      </c>
      <c r="O407" s="55">
        <f t="shared" si="7"/>
        <v>332000</v>
      </c>
      <c r="P407" s="11" t="s">
        <v>73</v>
      </c>
      <c r="Q407" s="45" t="s">
        <v>605</v>
      </c>
      <c r="R407" s="5" t="s">
        <v>606</v>
      </c>
      <c r="S407" s="5" t="s">
        <v>607</v>
      </c>
      <c r="T407" s="11" t="s">
        <v>41</v>
      </c>
      <c r="U407" s="73" t="s">
        <v>610</v>
      </c>
    </row>
    <row r="408" spans="1:21" s="1" customFormat="1" ht="14.4" x14ac:dyDescent="0.3">
      <c r="A408" s="11" t="s">
        <v>611</v>
      </c>
      <c r="B408" s="11" t="s">
        <v>1318</v>
      </c>
      <c r="C408" s="11" t="s">
        <v>986</v>
      </c>
      <c r="D408" s="11" t="s">
        <v>590</v>
      </c>
      <c r="E408" s="11">
        <v>1</v>
      </c>
      <c r="F408" s="11" t="s">
        <v>603</v>
      </c>
      <c r="G408" s="11" t="s">
        <v>23</v>
      </c>
      <c r="H408" s="11" t="s">
        <v>24</v>
      </c>
      <c r="I408" s="11" t="s">
        <v>25</v>
      </c>
      <c r="J408" s="11" t="s">
        <v>26</v>
      </c>
      <c r="K408" s="50">
        <v>45322</v>
      </c>
      <c r="L408" s="50">
        <v>46069</v>
      </c>
      <c r="M408" s="11" t="s">
        <v>1367</v>
      </c>
      <c r="N408" s="54">
        <v>228420</v>
      </c>
      <c r="O408" s="55">
        <f t="shared" si="7"/>
        <v>228420</v>
      </c>
      <c r="P408" s="11" t="s">
        <v>73</v>
      </c>
      <c r="Q408" s="90" t="s">
        <v>605</v>
      </c>
      <c r="R408" s="26" t="s">
        <v>606</v>
      </c>
      <c r="S408" s="26" t="s">
        <v>607</v>
      </c>
      <c r="T408" s="11" t="s">
        <v>41</v>
      </c>
      <c r="U408" s="11" t="s">
        <v>37</v>
      </c>
    </row>
    <row r="409" spans="1:21" s="1" customFormat="1" ht="26.4" x14ac:dyDescent="0.3">
      <c r="A409" s="11" t="s">
        <v>990</v>
      </c>
      <c r="B409" s="11" t="s">
        <v>991</v>
      </c>
      <c r="C409" s="11" t="s">
        <v>992</v>
      </c>
      <c r="D409" s="11" t="s">
        <v>590</v>
      </c>
      <c r="E409" s="11">
        <v>1</v>
      </c>
      <c r="F409" s="11" t="s">
        <v>603</v>
      </c>
      <c r="G409" s="11" t="s">
        <v>23</v>
      </c>
      <c r="H409" s="11" t="s">
        <v>24</v>
      </c>
      <c r="I409" s="11" t="s">
        <v>25</v>
      </c>
      <c r="J409" s="11" t="s">
        <v>26</v>
      </c>
      <c r="K409" s="50">
        <v>45322</v>
      </c>
      <c r="L409" s="50">
        <v>46069</v>
      </c>
      <c r="M409" s="11" t="s">
        <v>1367</v>
      </c>
      <c r="N409" s="11">
        <v>125000</v>
      </c>
      <c r="O409" s="55">
        <f t="shared" si="7"/>
        <v>125000</v>
      </c>
      <c r="P409" s="11" t="s">
        <v>50</v>
      </c>
      <c r="Q409" s="90" t="s">
        <v>605</v>
      </c>
      <c r="R409" s="26" t="s">
        <v>606</v>
      </c>
      <c r="S409" s="26" t="s">
        <v>607</v>
      </c>
      <c r="T409" s="11" t="s">
        <v>41</v>
      </c>
      <c r="U409" s="11"/>
    </row>
    <row r="410" spans="1:21" s="1" customFormat="1" ht="14.4" x14ac:dyDescent="0.3">
      <c r="A410" s="11" t="s">
        <v>982</v>
      </c>
      <c r="B410" s="11" t="s">
        <v>612</v>
      </c>
      <c r="C410" s="11" t="s">
        <v>602</v>
      </c>
      <c r="D410" s="11" t="s">
        <v>590</v>
      </c>
      <c r="E410" s="11">
        <v>1</v>
      </c>
      <c r="F410" s="11" t="s">
        <v>603</v>
      </c>
      <c r="G410" s="11" t="s">
        <v>23</v>
      </c>
      <c r="H410" s="11" t="s">
        <v>24</v>
      </c>
      <c r="I410" s="11" t="s">
        <v>25</v>
      </c>
      <c r="J410" s="11" t="s">
        <v>26</v>
      </c>
      <c r="K410" s="50">
        <v>45322</v>
      </c>
      <c r="L410" s="50">
        <v>46069</v>
      </c>
      <c r="M410" s="11" t="s">
        <v>1367</v>
      </c>
      <c r="N410" s="54">
        <v>49000</v>
      </c>
      <c r="O410" s="55">
        <f t="shared" si="7"/>
        <v>49000</v>
      </c>
      <c r="P410" s="11" t="s">
        <v>73</v>
      </c>
      <c r="Q410" s="90" t="s">
        <v>605</v>
      </c>
      <c r="R410" s="26" t="s">
        <v>606</v>
      </c>
      <c r="S410" s="26" t="s">
        <v>607</v>
      </c>
      <c r="T410" s="11" t="s">
        <v>41</v>
      </c>
      <c r="U410" s="73" t="s">
        <v>613</v>
      </c>
    </row>
    <row r="411" spans="1:21" s="1" customFormat="1" ht="14.4" x14ac:dyDescent="0.3">
      <c r="A411" s="11" t="s">
        <v>983</v>
      </c>
      <c r="B411" s="11" t="s">
        <v>614</v>
      </c>
      <c r="C411" s="11" t="s">
        <v>602</v>
      </c>
      <c r="D411" s="11" t="s">
        <v>590</v>
      </c>
      <c r="E411" s="11">
        <v>1</v>
      </c>
      <c r="F411" s="11" t="s">
        <v>603</v>
      </c>
      <c r="G411" s="11" t="s">
        <v>23</v>
      </c>
      <c r="H411" s="11" t="s">
        <v>24</v>
      </c>
      <c r="I411" s="11" t="s">
        <v>25</v>
      </c>
      <c r="J411" s="11" t="s">
        <v>26</v>
      </c>
      <c r="K411" s="50">
        <v>45322</v>
      </c>
      <c r="L411" s="50">
        <v>46069</v>
      </c>
      <c r="M411" s="11" t="s">
        <v>1367</v>
      </c>
      <c r="N411" s="54">
        <v>49000</v>
      </c>
      <c r="O411" s="55">
        <f t="shared" si="7"/>
        <v>49000</v>
      </c>
      <c r="P411" s="11" t="s">
        <v>50</v>
      </c>
      <c r="Q411" s="90" t="s">
        <v>605</v>
      </c>
      <c r="R411" s="26" t="s">
        <v>606</v>
      </c>
      <c r="S411" s="26" t="s">
        <v>607</v>
      </c>
      <c r="T411" s="11" t="s">
        <v>41</v>
      </c>
      <c r="U411" s="73" t="s">
        <v>613</v>
      </c>
    </row>
    <row r="412" spans="1:21" s="1" customFormat="1" ht="26.4" x14ac:dyDescent="0.3">
      <c r="A412" s="11" t="s">
        <v>615</v>
      </c>
      <c r="B412" s="11" t="s">
        <v>616</v>
      </c>
      <c r="C412" s="11" t="s">
        <v>602</v>
      </c>
      <c r="D412" s="11" t="s">
        <v>590</v>
      </c>
      <c r="E412" s="11">
        <v>1</v>
      </c>
      <c r="F412" s="11" t="s">
        <v>603</v>
      </c>
      <c r="G412" s="11" t="s">
        <v>23</v>
      </c>
      <c r="H412" s="11" t="s">
        <v>24</v>
      </c>
      <c r="I412" s="11" t="s">
        <v>25</v>
      </c>
      <c r="J412" s="11" t="s">
        <v>26</v>
      </c>
      <c r="K412" s="50">
        <v>45281</v>
      </c>
      <c r="L412" s="50">
        <v>46051</v>
      </c>
      <c r="M412" s="11" t="s">
        <v>1367</v>
      </c>
      <c r="N412" s="54">
        <v>183300</v>
      </c>
      <c r="O412" s="55">
        <f t="shared" si="7"/>
        <v>183300</v>
      </c>
      <c r="P412" s="11" t="s">
        <v>50</v>
      </c>
      <c r="Q412" s="90" t="s">
        <v>605</v>
      </c>
      <c r="R412" s="26" t="s">
        <v>606</v>
      </c>
      <c r="S412" s="26" t="s">
        <v>607</v>
      </c>
      <c r="T412" s="11" t="s">
        <v>41</v>
      </c>
      <c r="U412" s="73" t="s">
        <v>613</v>
      </c>
    </row>
    <row r="413" spans="1:21" s="1" customFormat="1" ht="26.4" x14ac:dyDescent="0.3">
      <c r="A413" s="11" t="s">
        <v>510</v>
      </c>
      <c r="B413" s="31" t="s">
        <v>511</v>
      </c>
      <c r="C413" s="11" t="s">
        <v>512</v>
      </c>
      <c r="D413" s="11" t="s">
        <v>590</v>
      </c>
      <c r="E413" s="11">
        <v>1</v>
      </c>
      <c r="F413" s="28" t="s">
        <v>513</v>
      </c>
      <c r="G413" s="11" t="s">
        <v>23</v>
      </c>
      <c r="H413" s="5" t="s">
        <v>580</v>
      </c>
      <c r="I413" s="11" t="s">
        <v>25</v>
      </c>
      <c r="J413" s="11" t="s">
        <v>26</v>
      </c>
      <c r="K413" s="52">
        <v>44968</v>
      </c>
      <c r="L413" s="85">
        <v>46032</v>
      </c>
      <c r="M413" s="5" t="s">
        <v>514</v>
      </c>
      <c r="N413" s="11">
        <v>8201</v>
      </c>
      <c r="O413" s="55">
        <f t="shared" si="7"/>
        <v>8201</v>
      </c>
      <c r="P413" s="11" t="s">
        <v>73</v>
      </c>
      <c r="Q413" s="43" t="s">
        <v>409</v>
      </c>
      <c r="R413" s="5">
        <v>9930806006</v>
      </c>
      <c r="S413" s="5" t="s">
        <v>410</v>
      </c>
      <c r="T413" s="11" t="s">
        <v>41</v>
      </c>
      <c r="U413" s="73" t="s">
        <v>510</v>
      </c>
    </row>
    <row r="414" spans="1:21" s="1" customFormat="1" ht="26.4" x14ac:dyDescent="0.3">
      <c r="A414" s="11" t="s">
        <v>516</v>
      </c>
      <c r="B414" s="11" t="s">
        <v>517</v>
      </c>
      <c r="C414" s="11" t="s">
        <v>512</v>
      </c>
      <c r="D414" s="11" t="s">
        <v>590</v>
      </c>
      <c r="E414" s="11">
        <v>1</v>
      </c>
      <c r="F414" s="28" t="s">
        <v>513</v>
      </c>
      <c r="G414" s="11" t="s">
        <v>23</v>
      </c>
      <c r="H414" s="11" t="s">
        <v>408</v>
      </c>
      <c r="I414" s="11" t="s">
        <v>25</v>
      </c>
      <c r="J414" s="11" t="s">
        <v>26</v>
      </c>
      <c r="K414" s="52">
        <v>44968</v>
      </c>
      <c r="L414" s="85">
        <v>46032</v>
      </c>
      <c r="M414" s="5" t="s">
        <v>514</v>
      </c>
      <c r="N414" s="11">
        <v>7611</v>
      </c>
      <c r="O414" s="55">
        <f t="shared" si="7"/>
        <v>7611</v>
      </c>
      <c r="P414" s="11" t="s">
        <v>73</v>
      </c>
      <c r="Q414" s="43" t="s">
        <v>409</v>
      </c>
      <c r="R414" s="5">
        <v>9930806006</v>
      </c>
      <c r="S414" s="5" t="s">
        <v>410</v>
      </c>
      <c r="T414" s="11" t="s">
        <v>41</v>
      </c>
      <c r="U414" s="73" t="s">
        <v>516</v>
      </c>
    </row>
    <row r="415" spans="1:21" s="1" customFormat="1" ht="14.4" x14ac:dyDescent="0.3">
      <c r="A415" s="11" t="s">
        <v>617</v>
      </c>
      <c r="B415" s="11" t="s">
        <v>618</v>
      </c>
      <c r="C415" s="11" t="s">
        <v>619</v>
      </c>
      <c r="D415" s="11" t="s">
        <v>620</v>
      </c>
      <c r="E415" s="11">
        <v>1</v>
      </c>
      <c r="F415" s="5" t="s">
        <v>621</v>
      </c>
      <c r="G415" s="11" t="s">
        <v>23</v>
      </c>
      <c r="H415" s="11" t="s">
        <v>24</v>
      </c>
      <c r="I415" s="11" t="s">
        <v>25</v>
      </c>
      <c r="J415" s="11" t="s">
        <v>26</v>
      </c>
      <c r="K415" s="59">
        <v>43552</v>
      </c>
      <c r="L415" s="50">
        <v>46065</v>
      </c>
      <c r="M415" s="11">
        <v>8129</v>
      </c>
      <c r="N415" s="55">
        <v>1852988</v>
      </c>
      <c r="O415" s="55">
        <f t="shared" si="7"/>
        <v>1852988</v>
      </c>
      <c r="P415" s="11" t="s">
        <v>73</v>
      </c>
      <c r="Q415" s="11" t="s">
        <v>37</v>
      </c>
      <c r="R415" s="11" t="s">
        <v>37</v>
      </c>
      <c r="S415" s="11" t="s">
        <v>37</v>
      </c>
      <c r="T415" s="11" t="s">
        <v>37</v>
      </c>
      <c r="U415" s="73" t="s">
        <v>618</v>
      </c>
    </row>
    <row r="416" spans="1:21" s="1" customFormat="1" ht="14.4" x14ac:dyDescent="0.3">
      <c r="A416" s="11" t="s">
        <v>617</v>
      </c>
      <c r="B416" s="11" t="s">
        <v>622</v>
      </c>
      <c r="C416" s="11" t="s">
        <v>623</v>
      </c>
      <c r="D416" s="11" t="s">
        <v>620</v>
      </c>
      <c r="E416" s="11">
        <v>1</v>
      </c>
      <c r="F416" s="5" t="s">
        <v>624</v>
      </c>
      <c r="G416" s="11" t="s">
        <v>23</v>
      </c>
      <c r="H416" s="11" t="s">
        <v>24</v>
      </c>
      <c r="I416" s="11" t="s">
        <v>25</v>
      </c>
      <c r="J416" s="11" t="s">
        <v>26</v>
      </c>
      <c r="K416" s="59">
        <v>43060</v>
      </c>
      <c r="L416" s="50">
        <v>46065</v>
      </c>
      <c r="M416" s="5" t="s">
        <v>625</v>
      </c>
      <c r="N416" s="55">
        <v>282135.3</v>
      </c>
      <c r="O416" s="55">
        <f t="shared" si="7"/>
        <v>282135.3</v>
      </c>
      <c r="P416" s="11" t="s">
        <v>73</v>
      </c>
      <c r="Q416" s="11" t="s">
        <v>37</v>
      </c>
      <c r="R416" s="11" t="s">
        <v>37</v>
      </c>
      <c r="S416" s="11" t="s">
        <v>37</v>
      </c>
      <c r="T416" s="11" t="s">
        <v>397</v>
      </c>
      <c r="U416" s="73" t="s">
        <v>622</v>
      </c>
    </row>
    <row r="417" spans="1:21" s="1" customFormat="1" ht="14.4" x14ac:dyDescent="0.3">
      <c r="A417" s="11" t="s">
        <v>626</v>
      </c>
      <c r="B417" s="11" t="s">
        <v>627</v>
      </c>
      <c r="C417" s="11" t="s">
        <v>37</v>
      </c>
      <c r="D417" s="11" t="s">
        <v>620</v>
      </c>
      <c r="E417" s="11">
        <v>1</v>
      </c>
      <c r="F417" s="32" t="s">
        <v>1287</v>
      </c>
      <c r="G417" s="11" t="s">
        <v>23</v>
      </c>
      <c r="H417" s="11" t="s">
        <v>24</v>
      </c>
      <c r="I417" s="11" t="s">
        <v>25</v>
      </c>
      <c r="J417" s="11" t="s">
        <v>26</v>
      </c>
      <c r="K417" s="59">
        <v>43847</v>
      </c>
      <c r="L417" s="50">
        <v>46101</v>
      </c>
      <c r="M417" s="11" t="s">
        <v>37</v>
      </c>
      <c r="N417" s="11">
        <v>0</v>
      </c>
      <c r="O417" s="55">
        <f t="shared" si="7"/>
        <v>0</v>
      </c>
      <c r="P417" s="11" t="s">
        <v>37</v>
      </c>
      <c r="Q417" s="11" t="s">
        <v>37</v>
      </c>
      <c r="R417" s="11" t="s">
        <v>37</v>
      </c>
      <c r="S417" s="11" t="s">
        <v>37</v>
      </c>
      <c r="T417" s="11"/>
      <c r="U417" s="73" t="s">
        <v>627</v>
      </c>
    </row>
    <row r="418" spans="1:21" s="1" customFormat="1" ht="26.4" x14ac:dyDescent="0.3">
      <c r="A418" s="11" t="s">
        <v>1265</v>
      </c>
      <c r="B418" s="11" t="s">
        <v>1266</v>
      </c>
      <c r="C418" s="11" t="s">
        <v>37</v>
      </c>
      <c r="D418" s="11" t="s">
        <v>620</v>
      </c>
      <c r="E418" s="11">
        <v>1</v>
      </c>
      <c r="F418" s="11" t="s">
        <v>1287</v>
      </c>
      <c r="G418" s="11" t="s">
        <v>23</v>
      </c>
      <c r="H418" s="11" t="s">
        <v>24</v>
      </c>
      <c r="I418" s="11" t="s">
        <v>25</v>
      </c>
      <c r="J418" s="11" t="s">
        <v>26</v>
      </c>
      <c r="K418" s="50">
        <v>42454</v>
      </c>
      <c r="L418" s="50">
        <v>46086</v>
      </c>
      <c r="M418" s="11" t="s">
        <v>1224</v>
      </c>
      <c r="N418" s="11">
        <v>153000</v>
      </c>
      <c r="O418" s="55">
        <f t="shared" si="7"/>
        <v>153000</v>
      </c>
      <c r="P418" s="11" t="s">
        <v>73</v>
      </c>
      <c r="Q418" s="5" t="s">
        <v>37</v>
      </c>
      <c r="R418" s="34">
        <v>8044464585</v>
      </c>
      <c r="S418" s="5" t="s">
        <v>1223</v>
      </c>
      <c r="T418" s="11"/>
      <c r="U418" s="73" t="s">
        <v>628</v>
      </c>
    </row>
    <row r="419" spans="1:21" s="1" customFormat="1" ht="14.4" x14ac:dyDescent="0.3">
      <c r="A419" s="11" t="s">
        <v>629</v>
      </c>
      <c r="B419" s="11" t="s">
        <v>629</v>
      </c>
      <c r="C419" s="11" t="s">
        <v>37</v>
      </c>
      <c r="D419" s="11" t="s">
        <v>620</v>
      </c>
      <c r="E419" s="11">
        <v>1</v>
      </c>
      <c r="F419" s="11" t="s">
        <v>37</v>
      </c>
      <c r="G419" s="11" t="s">
        <v>23</v>
      </c>
      <c r="H419" s="11" t="s">
        <v>24</v>
      </c>
      <c r="I419" s="11" t="s">
        <v>25</v>
      </c>
      <c r="J419" s="11" t="s">
        <v>26</v>
      </c>
      <c r="K419" s="11" t="s">
        <v>37</v>
      </c>
      <c r="L419" s="11"/>
      <c r="M419" s="11" t="s">
        <v>37</v>
      </c>
      <c r="N419" s="11">
        <v>0</v>
      </c>
      <c r="O419" s="55">
        <f t="shared" si="7"/>
        <v>0</v>
      </c>
      <c r="P419" s="11" t="s">
        <v>37</v>
      </c>
      <c r="Q419" s="11" t="s">
        <v>37</v>
      </c>
      <c r="R419" s="11" t="s">
        <v>37</v>
      </c>
      <c r="S419" s="11"/>
      <c r="T419" s="11"/>
      <c r="U419" s="73" t="s">
        <v>629</v>
      </c>
    </row>
    <row r="420" spans="1:21" s="1" customFormat="1" ht="14.4" x14ac:dyDescent="0.3">
      <c r="A420" s="11" t="s">
        <v>630</v>
      </c>
      <c r="B420" s="11" t="s">
        <v>631</v>
      </c>
      <c r="C420" s="11" t="s">
        <v>37</v>
      </c>
      <c r="D420" s="11" t="s">
        <v>620</v>
      </c>
      <c r="E420" s="11">
        <v>1</v>
      </c>
      <c r="F420" s="11" t="s">
        <v>37</v>
      </c>
      <c r="G420" s="11" t="s">
        <v>23</v>
      </c>
      <c r="H420" s="5" t="s">
        <v>580</v>
      </c>
      <c r="I420" s="11" t="s">
        <v>25</v>
      </c>
      <c r="J420" s="11" t="s">
        <v>26</v>
      </c>
      <c r="K420" s="11" t="s">
        <v>37</v>
      </c>
      <c r="L420" s="11"/>
      <c r="M420" s="11" t="s">
        <v>37</v>
      </c>
      <c r="N420" s="11">
        <v>0</v>
      </c>
      <c r="O420" s="55">
        <f t="shared" si="7"/>
        <v>0</v>
      </c>
      <c r="P420" s="11" t="s">
        <v>37</v>
      </c>
      <c r="Q420" s="11" t="s">
        <v>37</v>
      </c>
      <c r="R420" s="11" t="s">
        <v>37</v>
      </c>
      <c r="S420" s="11"/>
      <c r="T420" s="11"/>
      <c r="U420" s="11" t="s">
        <v>37</v>
      </c>
    </row>
    <row r="421" spans="1:21" s="1" customFormat="1" ht="26.4" x14ac:dyDescent="0.3">
      <c r="A421" s="11" t="s">
        <v>1268</v>
      </c>
      <c r="B421" s="11" t="s">
        <v>1271</v>
      </c>
      <c r="C421" s="11" t="s">
        <v>37</v>
      </c>
      <c r="D421" s="11" t="s">
        <v>620</v>
      </c>
      <c r="E421" s="11">
        <v>1</v>
      </c>
      <c r="F421" s="11" t="s">
        <v>1287</v>
      </c>
      <c r="G421" s="11" t="s">
        <v>23</v>
      </c>
      <c r="H421" s="11" t="s">
        <v>24</v>
      </c>
      <c r="I421" s="11" t="s">
        <v>25</v>
      </c>
      <c r="J421" s="11" t="s">
        <v>26</v>
      </c>
      <c r="K421" s="50">
        <v>42454</v>
      </c>
      <c r="L421" s="50">
        <v>46086</v>
      </c>
      <c r="M421" s="11" t="s">
        <v>1224</v>
      </c>
      <c r="N421" s="11">
        <v>1075329</v>
      </c>
      <c r="O421" s="55">
        <f t="shared" si="7"/>
        <v>1075329</v>
      </c>
      <c r="P421" s="11" t="s">
        <v>73</v>
      </c>
      <c r="Q421" s="5" t="s">
        <v>37</v>
      </c>
      <c r="R421" s="34">
        <v>8044464585</v>
      </c>
      <c r="S421" s="5" t="s">
        <v>1223</v>
      </c>
      <c r="T421" s="11"/>
      <c r="U421" s="11"/>
    </row>
    <row r="422" spans="1:21" s="1" customFormat="1" ht="26.4" x14ac:dyDescent="0.3">
      <c r="A422" s="11" t="s">
        <v>1269</v>
      </c>
      <c r="B422" s="11" t="s">
        <v>1271</v>
      </c>
      <c r="C422" s="11" t="s">
        <v>37</v>
      </c>
      <c r="D422" s="11" t="s">
        <v>620</v>
      </c>
      <c r="E422" s="11">
        <v>1</v>
      </c>
      <c r="F422" s="11" t="s">
        <v>1287</v>
      </c>
      <c r="G422" s="11" t="s">
        <v>23</v>
      </c>
      <c r="H422" s="11" t="s">
        <v>24</v>
      </c>
      <c r="I422" s="11" t="s">
        <v>25</v>
      </c>
      <c r="J422" s="11" t="s">
        <v>26</v>
      </c>
      <c r="K422" s="50">
        <v>42454</v>
      </c>
      <c r="L422" s="50">
        <v>46086</v>
      </c>
      <c r="M422" s="11" t="s">
        <v>1224</v>
      </c>
      <c r="N422" s="11">
        <v>1075329</v>
      </c>
      <c r="O422" s="55">
        <f t="shared" si="7"/>
        <v>1075329</v>
      </c>
      <c r="P422" s="11" t="s">
        <v>73</v>
      </c>
      <c r="Q422" s="5" t="s">
        <v>37</v>
      </c>
      <c r="R422" s="34">
        <v>8044464585</v>
      </c>
      <c r="S422" s="5" t="s">
        <v>1223</v>
      </c>
      <c r="T422" s="11"/>
      <c r="U422" s="11"/>
    </row>
    <row r="423" spans="1:21" s="1" customFormat="1" ht="26.4" x14ac:dyDescent="0.3">
      <c r="A423" s="11" t="s">
        <v>1270</v>
      </c>
      <c r="B423" s="11" t="s">
        <v>1271</v>
      </c>
      <c r="C423" s="11" t="s">
        <v>37</v>
      </c>
      <c r="D423" s="11" t="s">
        <v>620</v>
      </c>
      <c r="E423" s="11">
        <v>1</v>
      </c>
      <c r="F423" s="11" t="s">
        <v>1287</v>
      </c>
      <c r="G423" s="11" t="s">
        <v>23</v>
      </c>
      <c r="H423" s="11" t="s">
        <v>24</v>
      </c>
      <c r="I423" s="11" t="s">
        <v>25</v>
      </c>
      <c r="J423" s="11" t="s">
        <v>26</v>
      </c>
      <c r="K423" s="50">
        <v>42454</v>
      </c>
      <c r="L423" s="50">
        <v>46086</v>
      </c>
      <c r="M423" s="11" t="s">
        <v>1224</v>
      </c>
      <c r="N423" s="11">
        <v>1075329</v>
      </c>
      <c r="O423" s="55">
        <f t="shared" si="7"/>
        <v>1075329</v>
      </c>
      <c r="P423" s="11" t="s">
        <v>73</v>
      </c>
      <c r="Q423" s="5" t="s">
        <v>37</v>
      </c>
      <c r="R423" s="34">
        <v>8044464585</v>
      </c>
      <c r="S423" s="5" t="s">
        <v>1223</v>
      </c>
      <c r="T423" s="11"/>
      <c r="U423" s="11"/>
    </row>
    <row r="424" spans="1:21" s="1" customFormat="1" ht="26.4" x14ac:dyDescent="0.3">
      <c r="A424" s="11" t="s">
        <v>1319</v>
      </c>
      <c r="B424" s="11" t="s">
        <v>1336</v>
      </c>
      <c r="C424" s="11" t="s">
        <v>37</v>
      </c>
      <c r="D424" s="11" t="s">
        <v>620</v>
      </c>
      <c r="E424" s="11">
        <v>1</v>
      </c>
      <c r="F424" s="5" t="s">
        <v>1287</v>
      </c>
      <c r="G424" s="11" t="s">
        <v>23</v>
      </c>
      <c r="H424" s="11" t="s">
        <v>24</v>
      </c>
      <c r="I424" s="11" t="s">
        <v>25</v>
      </c>
      <c r="J424" s="11" t="s">
        <v>26</v>
      </c>
      <c r="K424" s="50">
        <v>42454</v>
      </c>
      <c r="L424" s="50">
        <v>46086</v>
      </c>
      <c r="M424" s="11" t="s">
        <v>1224</v>
      </c>
      <c r="N424" s="11">
        <v>56067</v>
      </c>
      <c r="O424" s="55">
        <f t="shared" si="7"/>
        <v>56067</v>
      </c>
      <c r="P424" s="11" t="s">
        <v>73</v>
      </c>
      <c r="Q424" s="5" t="s">
        <v>37</v>
      </c>
      <c r="R424" s="34">
        <v>8044464585</v>
      </c>
      <c r="S424" s="5" t="s">
        <v>1223</v>
      </c>
      <c r="T424" s="11"/>
      <c r="U424" s="11" t="s">
        <v>37</v>
      </c>
    </row>
    <row r="425" spans="1:21" s="1" customFormat="1" ht="26.4" x14ac:dyDescent="0.3">
      <c r="A425" s="11" t="s">
        <v>1320</v>
      </c>
      <c r="B425" s="11" t="s">
        <v>1337</v>
      </c>
      <c r="C425" s="11" t="s">
        <v>37</v>
      </c>
      <c r="D425" s="11" t="s">
        <v>620</v>
      </c>
      <c r="E425" s="11">
        <v>1</v>
      </c>
      <c r="F425" s="5" t="s">
        <v>1287</v>
      </c>
      <c r="G425" s="11" t="s">
        <v>23</v>
      </c>
      <c r="H425" s="11" t="s">
        <v>24</v>
      </c>
      <c r="I425" s="11" t="s">
        <v>25</v>
      </c>
      <c r="J425" s="11" t="s">
        <v>26</v>
      </c>
      <c r="K425" s="50">
        <v>42454</v>
      </c>
      <c r="L425" s="50">
        <v>46086</v>
      </c>
      <c r="M425" s="11" t="s">
        <v>1224</v>
      </c>
      <c r="N425" s="11">
        <v>56067</v>
      </c>
      <c r="O425" s="55">
        <f t="shared" si="7"/>
        <v>56067</v>
      </c>
      <c r="P425" s="11" t="s">
        <v>73</v>
      </c>
      <c r="Q425" s="5" t="s">
        <v>37</v>
      </c>
      <c r="R425" s="34">
        <v>8044464585</v>
      </c>
      <c r="S425" s="5" t="s">
        <v>1223</v>
      </c>
      <c r="T425" s="11"/>
      <c r="U425" s="11" t="s">
        <v>37</v>
      </c>
    </row>
    <row r="426" spans="1:21" s="1" customFormat="1" ht="14.4" x14ac:dyDescent="0.3">
      <c r="A426" s="11" t="s">
        <v>633</v>
      </c>
      <c r="B426" s="11" t="s">
        <v>632</v>
      </c>
      <c r="C426" s="11" t="s">
        <v>37</v>
      </c>
      <c r="D426" s="11" t="s">
        <v>620</v>
      </c>
      <c r="E426" s="11">
        <v>1</v>
      </c>
      <c r="F426" s="11" t="s">
        <v>37</v>
      </c>
      <c r="G426" s="11" t="s">
        <v>23</v>
      </c>
      <c r="H426" s="11" t="s">
        <v>24</v>
      </c>
      <c r="I426" s="11" t="s">
        <v>25</v>
      </c>
      <c r="J426" s="11" t="s">
        <v>26</v>
      </c>
      <c r="K426" s="11" t="s">
        <v>37</v>
      </c>
      <c r="L426" s="11"/>
      <c r="M426" s="11" t="s">
        <v>37</v>
      </c>
      <c r="N426" s="11">
        <v>0</v>
      </c>
      <c r="O426" s="55">
        <f t="shared" si="7"/>
        <v>0</v>
      </c>
      <c r="P426" s="11" t="s">
        <v>37</v>
      </c>
      <c r="Q426" s="11" t="s">
        <v>37</v>
      </c>
      <c r="R426" s="11" t="s">
        <v>37</v>
      </c>
      <c r="S426" s="11"/>
      <c r="T426" s="11"/>
      <c r="U426" s="11" t="s">
        <v>37</v>
      </c>
    </row>
    <row r="427" spans="1:21" s="1" customFormat="1" ht="14.4" x14ac:dyDescent="0.3">
      <c r="A427" s="11" t="s">
        <v>1321</v>
      </c>
      <c r="B427" s="11" t="s">
        <v>634</v>
      </c>
      <c r="C427" s="11" t="s">
        <v>37</v>
      </c>
      <c r="D427" s="11" t="s">
        <v>620</v>
      </c>
      <c r="E427" s="11">
        <v>1</v>
      </c>
      <c r="F427" s="5" t="s">
        <v>1287</v>
      </c>
      <c r="G427" s="11" t="s">
        <v>23</v>
      </c>
      <c r="H427" s="11" t="s">
        <v>24</v>
      </c>
      <c r="I427" s="11" t="s">
        <v>25</v>
      </c>
      <c r="J427" s="11" t="s">
        <v>26</v>
      </c>
      <c r="K427" s="50">
        <v>42454</v>
      </c>
      <c r="L427" s="50">
        <v>46086</v>
      </c>
      <c r="M427" s="11" t="s">
        <v>1224</v>
      </c>
      <c r="N427" s="11">
        <v>35577</v>
      </c>
      <c r="O427" s="55">
        <f t="shared" si="7"/>
        <v>35577</v>
      </c>
      <c r="P427" s="11" t="s">
        <v>73</v>
      </c>
      <c r="Q427" s="5" t="s">
        <v>37</v>
      </c>
      <c r="R427" s="34">
        <v>8044464585</v>
      </c>
      <c r="S427" s="5" t="s">
        <v>1223</v>
      </c>
      <c r="T427" s="11"/>
      <c r="U427" s="11" t="s">
        <v>635</v>
      </c>
    </row>
    <row r="428" spans="1:21" s="1" customFormat="1" ht="14.4" x14ac:dyDescent="0.3">
      <c r="A428" s="11" t="s">
        <v>1322</v>
      </c>
      <c r="B428" s="11" t="s">
        <v>634</v>
      </c>
      <c r="C428" s="11" t="s">
        <v>37</v>
      </c>
      <c r="D428" s="11" t="s">
        <v>620</v>
      </c>
      <c r="E428" s="11">
        <v>1</v>
      </c>
      <c r="F428" s="5" t="s">
        <v>1287</v>
      </c>
      <c r="G428" s="11" t="s">
        <v>23</v>
      </c>
      <c r="H428" s="11" t="s">
        <v>24</v>
      </c>
      <c r="I428" s="11" t="s">
        <v>25</v>
      </c>
      <c r="J428" s="11" t="s">
        <v>26</v>
      </c>
      <c r="K428" s="50">
        <v>42454</v>
      </c>
      <c r="L428" s="50">
        <v>46086</v>
      </c>
      <c r="M428" s="11" t="s">
        <v>1224</v>
      </c>
      <c r="N428" s="11">
        <v>35577</v>
      </c>
      <c r="O428" s="55">
        <f t="shared" si="7"/>
        <v>35577</v>
      </c>
      <c r="P428" s="11" t="s">
        <v>73</v>
      </c>
      <c r="Q428" s="5" t="s">
        <v>37</v>
      </c>
      <c r="R428" s="34">
        <v>8044464585</v>
      </c>
      <c r="S428" s="5" t="s">
        <v>1223</v>
      </c>
      <c r="T428" s="11"/>
      <c r="U428" s="11" t="s">
        <v>635</v>
      </c>
    </row>
    <row r="429" spans="1:21" s="1" customFormat="1" ht="14.4" x14ac:dyDescent="0.3">
      <c r="A429" s="11" t="s">
        <v>636</v>
      </c>
      <c r="B429" s="11" t="s">
        <v>634</v>
      </c>
      <c r="C429" s="11" t="s">
        <v>37</v>
      </c>
      <c r="D429" s="11" t="s">
        <v>620</v>
      </c>
      <c r="E429" s="11">
        <v>1</v>
      </c>
      <c r="F429" s="11" t="s">
        <v>37</v>
      </c>
      <c r="G429" s="11" t="s">
        <v>23</v>
      </c>
      <c r="H429" s="11" t="s">
        <v>24</v>
      </c>
      <c r="I429" s="11" t="s">
        <v>25</v>
      </c>
      <c r="J429" s="11" t="s">
        <v>26</v>
      </c>
      <c r="K429" s="11" t="s">
        <v>37</v>
      </c>
      <c r="L429" s="11"/>
      <c r="M429" s="11" t="s">
        <v>37</v>
      </c>
      <c r="N429" s="11">
        <v>0</v>
      </c>
      <c r="O429" s="55">
        <f t="shared" si="7"/>
        <v>0</v>
      </c>
      <c r="P429" s="11" t="s">
        <v>37</v>
      </c>
      <c r="Q429" s="11" t="s">
        <v>37</v>
      </c>
      <c r="R429" s="11" t="s">
        <v>37</v>
      </c>
      <c r="S429" s="11"/>
      <c r="T429" s="11"/>
      <c r="U429" s="11" t="s">
        <v>635</v>
      </c>
    </row>
    <row r="430" spans="1:21" s="1" customFormat="1" ht="39.6" x14ac:dyDescent="0.3">
      <c r="A430" s="11" t="s">
        <v>1254</v>
      </c>
      <c r="B430" s="11" t="s">
        <v>1255</v>
      </c>
      <c r="C430" s="11" t="s">
        <v>574</v>
      </c>
      <c r="D430" s="11" t="s">
        <v>620</v>
      </c>
      <c r="E430" s="11">
        <v>1</v>
      </c>
      <c r="F430" s="11" t="s">
        <v>999</v>
      </c>
      <c r="G430" s="11" t="s">
        <v>23</v>
      </c>
      <c r="H430" s="11" t="s">
        <v>426</v>
      </c>
      <c r="I430" s="11" t="s">
        <v>25</v>
      </c>
      <c r="J430" s="11" t="s">
        <v>26</v>
      </c>
      <c r="K430" s="50">
        <v>45446</v>
      </c>
      <c r="L430" s="50">
        <v>46085</v>
      </c>
      <c r="M430" s="11" t="s">
        <v>1000</v>
      </c>
      <c r="N430" s="11">
        <v>21145</v>
      </c>
      <c r="O430" s="55">
        <f t="shared" si="7"/>
        <v>21145</v>
      </c>
      <c r="P430" s="11" t="s">
        <v>50</v>
      </c>
      <c r="Q430" s="43" t="s">
        <v>1013</v>
      </c>
      <c r="R430" s="5">
        <v>225316608</v>
      </c>
      <c r="S430" s="5" t="s">
        <v>1014</v>
      </c>
      <c r="T430" s="11" t="s">
        <v>41</v>
      </c>
      <c r="U430" s="73" t="s">
        <v>572</v>
      </c>
    </row>
    <row r="431" spans="1:21" s="1" customFormat="1" ht="26.4" x14ac:dyDescent="0.3">
      <c r="A431" s="11" t="s">
        <v>482</v>
      </c>
      <c r="B431" s="5" t="s">
        <v>1261</v>
      </c>
      <c r="C431" s="5" t="s">
        <v>483</v>
      </c>
      <c r="D431" s="11" t="s">
        <v>620</v>
      </c>
      <c r="E431" s="11">
        <v>2</v>
      </c>
      <c r="F431" s="5" t="s">
        <v>1257</v>
      </c>
      <c r="G431" s="11" t="s">
        <v>23</v>
      </c>
      <c r="H431" s="11" t="s">
        <v>311</v>
      </c>
      <c r="I431" s="11" t="s">
        <v>25</v>
      </c>
      <c r="J431" s="11" t="s">
        <v>26</v>
      </c>
      <c r="K431" s="52">
        <v>45121</v>
      </c>
      <c r="L431" s="52">
        <v>46085</v>
      </c>
      <c r="M431" s="5" t="s">
        <v>1258</v>
      </c>
      <c r="N431" s="5">
        <v>1169.7</v>
      </c>
      <c r="O431" s="55">
        <f t="shared" si="7"/>
        <v>2339.4</v>
      </c>
      <c r="P431" s="11" t="s">
        <v>50</v>
      </c>
      <c r="Q431" s="43" t="s">
        <v>1259</v>
      </c>
      <c r="R431" s="5">
        <v>9820023829</v>
      </c>
      <c r="S431" s="5" t="s">
        <v>1260</v>
      </c>
      <c r="T431" s="5" t="s">
        <v>41</v>
      </c>
      <c r="U431" s="11" t="s">
        <v>37</v>
      </c>
    </row>
    <row r="432" spans="1:21" s="1" customFormat="1" ht="14.4" x14ac:dyDescent="0.3">
      <c r="A432" s="33" t="s">
        <v>644</v>
      </c>
      <c r="B432" s="11" t="s">
        <v>644</v>
      </c>
      <c r="C432" s="11" t="s">
        <v>37</v>
      </c>
      <c r="D432" s="11" t="s">
        <v>1222</v>
      </c>
      <c r="E432" s="11">
        <v>1</v>
      </c>
      <c r="F432" s="5" t="s">
        <v>638</v>
      </c>
      <c r="G432" s="11" t="s">
        <v>23</v>
      </c>
      <c r="H432" s="11" t="s">
        <v>24</v>
      </c>
      <c r="I432" s="11" t="s">
        <v>25</v>
      </c>
      <c r="J432" s="11" t="s">
        <v>26</v>
      </c>
      <c r="K432" s="52">
        <v>41164</v>
      </c>
      <c r="L432" s="50">
        <v>41164</v>
      </c>
      <c r="M432" s="5" t="s">
        <v>642</v>
      </c>
      <c r="N432" s="54">
        <v>44925.33</v>
      </c>
      <c r="O432" s="55">
        <f t="shared" si="7"/>
        <v>44925.33</v>
      </c>
      <c r="P432" s="11" t="s">
        <v>1170</v>
      </c>
      <c r="Q432" s="11" t="s">
        <v>37</v>
      </c>
      <c r="R432" s="11" t="s">
        <v>37</v>
      </c>
      <c r="S432" s="11" t="s">
        <v>37</v>
      </c>
      <c r="T432" s="11" t="s">
        <v>643</v>
      </c>
      <c r="U432" s="43" t="s">
        <v>645</v>
      </c>
    </row>
    <row r="433" spans="1:21" s="1" customFormat="1" ht="14.4" x14ac:dyDescent="0.3">
      <c r="A433" s="33" t="s">
        <v>644</v>
      </c>
      <c r="B433" s="11" t="s">
        <v>37</v>
      </c>
      <c r="C433" s="11" t="s">
        <v>37</v>
      </c>
      <c r="D433" s="11" t="s">
        <v>37</v>
      </c>
      <c r="E433" s="12" t="s">
        <v>37</v>
      </c>
      <c r="F433" s="11" t="s">
        <v>37</v>
      </c>
      <c r="G433" s="11" t="s">
        <v>23</v>
      </c>
      <c r="H433" s="11" t="s">
        <v>24</v>
      </c>
      <c r="I433" s="11" t="s">
        <v>25</v>
      </c>
      <c r="J433" s="11" t="s">
        <v>740</v>
      </c>
      <c r="K433" s="11" t="s">
        <v>37</v>
      </c>
      <c r="L433" s="50">
        <v>46104</v>
      </c>
      <c r="M433" s="11" t="s">
        <v>37</v>
      </c>
      <c r="N433" s="54">
        <v>0</v>
      </c>
      <c r="O433" s="55">
        <v>0</v>
      </c>
      <c r="P433" s="11"/>
      <c r="Q433" s="11" t="s">
        <v>37</v>
      </c>
      <c r="R433" s="11" t="s">
        <v>37</v>
      </c>
      <c r="S433" s="11" t="s">
        <v>37</v>
      </c>
      <c r="T433" s="11"/>
      <c r="U433" s="43"/>
    </row>
    <row r="434" spans="1:21" s="1" customFormat="1" ht="14.4" x14ac:dyDescent="0.3">
      <c r="A434" s="11" t="s">
        <v>646</v>
      </c>
      <c r="B434" s="11" t="s">
        <v>1225</v>
      </c>
      <c r="C434" s="11" t="s">
        <v>37</v>
      </c>
      <c r="D434" s="11" t="s">
        <v>1222</v>
      </c>
      <c r="E434" s="11">
        <v>1</v>
      </c>
      <c r="F434" s="5" t="s">
        <v>1287</v>
      </c>
      <c r="G434" s="11" t="s">
        <v>23</v>
      </c>
      <c r="H434" s="11" t="s">
        <v>24</v>
      </c>
      <c r="I434" s="11" t="s">
        <v>25</v>
      </c>
      <c r="J434" s="11" t="s">
        <v>26</v>
      </c>
      <c r="K434" s="52">
        <v>41844</v>
      </c>
      <c r="L434" s="50">
        <v>46084</v>
      </c>
      <c r="M434" s="11" t="s">
        <v>1224</v>
      </c>
      <c r="N434" s="11">
        <v>181000</v>
      </c>
      <c r="O434" s="55">
        <f t="shared" ref="O434:O465" si="8">N434*E434</f>
        <v>181000</v>
      </c>
      <c r="P434" s="11" t="s">
        <v>73</v>
      </c>
      <c r="Q434" s="5" t="s">
        <v>37</v>
      </c>
      <c r="R434" s="34">
        <v>8044464585</v>
      </c>
      <c r="S434" s="5" t="s">
        <v>1223</v>
      </c>
      <c r="T434" s="11" t="s">
        <v>643</v>
      </c>
      <c r="U434" s="11" t="s">
        <v>37</v>
      </c>
    </row>
    <row r="435" spans="1:21" s="1" customFormat="1" ht="14.4" x14ac:dyDescent="0.3">
      <c r="A435" s="11" t="s">
        <v>639</v>
      </c>
      <c r="B435" s="11" t="s">
        <v>641</v>
      </c>
      <c r="C435" s="11" t="s">
        <v>37</v>
      </c>
      <c r="D435" s="11" t="s">
        <v>1222</v>
      </c>
      <c r="E435" s="12">
        <v>1</v>
      </c>
      <c r="F435" s="5" t="s">
        <v>37</v>
      </c>
      <c r="G435" s="11" t="s">
        <v>23</v>
      </c>
      <c r="H435" s="11" t="s">
        <v>24</v>
      </c>
      <c r="I435" s="11" t="s">
        <v>25</v>
      </c>
      <c r="J435" s="11" t="s">
        <v>26</v>
      </c>
      <c r="K435" s="52" t="s">
        <v>37</v>
      </c>
      <c r="L435" s="50">
        <v>46101</v>
      </c>
      <c r="M435" s="11" t="s">
        <v>37</v>
      </c>
      <c r="N435" s="11">
        <v>0</v>
      </c>
      <c r="O435" s="55">
        <f t="shared" si="8"/>
        <v>0</v>
      </c>
      <c r="P435" s="46"/>
      <c r="Q435" s="26" t="s">
        <v>37</v>
      </c>
      <c r="R435" s="26" t="s">
        <v>37</v>
      </c>
      <c r="S435" s="26" t="s">
        <v>37</v>
      </c>
      <c r="T435" s="26" t="s">
        <v>37</v>
      </c>
      <c r="U435" s="11" t="s">
        <v>37</v>
      </c>
    </row>
    <row r="436" spans="1:21" s="1" customFormat="1" ht="14.4" x14ac:dyDescent="0.3">
      <c r="A436" s="11" t="s">
        <v>637</v>
      </c>
      <c r="B436" s="11" t="s">
        <v>686</v>
      </c>
      <c r="C436" s="11" t="s">
        <v>37</v>
      </c>
      <c r="D436" s="11" t="s">
        <v>1222</v>
      </c>
      <c r="E436" s="11">
        <v>1</v>
      </c>
      <c r="F436" s="5" t="s">
        <v>1287</v>
      </c>
      <c r="G436" s="11" t="s">
        <v>23</v>
      </c>
      <c r="H436" s="11" t="s">
        <v>24</v>
      </c>
      <c r="I436" s="11" t="s">
        <v>25</v>
      </c>
      <c r="J436" s="11" t="s">
        <v>26</v>
      </c>
      <c r="K436" s="52">
        <v>41844</v>
      </c>
      <c r="L436" s="50">
        <v>46084</v>
      </c>
      <c r="M436" s="11" t="s">
        <v>1224</v>
      </c>
      <c r="N436" s="11">
        <v>266310</v>
      </c>
      <c r="O436" s="55">
        <f t="shared" si="8"/>
        <v>266310</v>
      </c>
      <c r="P436" s="11" t="s">
        <v>73</v>
      </c>
      <c r="Q436" s="5" t="s">
        <v>37</v>
      </c>
      <c r="R436" s="34">
        <v>8044464585</v>
      </c>
      <c r="S436" s="5" t="s">
        <v>1223</v>
      </c>
      <c r="T436" s="11" t="s">
        <v>643</v>
      </c>
      <c r="U436" s="11" t="s">
        <v>37</v>
      </c>
    </row>
    <row r="437" spans="1:21" s="1" customFormat="1" ht="26.4" x14ac:dyDescent="0.3">
      <c r="A437" s="11" t="s">
        <v>639</v>
      </c>
      <c r="B437" s="11" t="s">
        <v>647</v>
      </c>
      <c r="C437" s="11" t="s">
        <v>37</v>
      </c>
      <c r="D437" s="11" t="s">
        <v>1222</v>
      </c>
      <c r="E437" s="12">
        <v>1</v>
      </c>
      <c r="F437" s="5" t="s">
        <v>37</v>
      </c>
      <c r="G437" s="11" t="s">
        <v>23</v>
      </c>
      <c r="H437" s="11" t="s">
        <v>24</v>
      </c>
      <c r="I437" s="11" t="s">
        <v>25</v>
      </c>
      <c r="J437" s="11" t="s">
        <v>26</v>
      </c>
      <c r="K437" s="52" t="s">
        <v>37</v>
      </c>
      <c r="L437" s="50">
        <v>46101</v>
      </c>
      <c r="M437" s="11" t="s">
        <v>37</v>
      </c>
      <c r="N437" s="11">
        <v>0</v>
      </c>
      <c r="O437" s="55">
        <f t="shared" si="8"/>
        <v>0</v>
      </c>
      <c r="P437" s="46"/>
      <c r="Q437" s="26" t="s">
        <v>37</v>
      </c>
      <c r="R437" s="26" t="s">
        <v>37</v>
      </c>
      <c r="S437" s="26" t="s">
        <v>37</v>
      </c>
      <c r="T437" s="26" t="s">
        <v>37</v>
      </c>
      <c r="U437" s="11" t="s">
        <v>37</v>
      </c>
    </row>
    <row r="438" spans="1:21" s="1" customFormat="1" ht="14.4" x14ac:dyDescent="0.3">
      <c r="A438" s="11" t="s">
        <v>648</v>
      </c>
      <c r="B438" s="11" t="s">
        <v>681</v>
      </c>
      <c r="C438" s="11" t="s">
        <v>37</v>
      </c>
      <c r="D438" s="11" t="s">
        <v>1222</v>
      </c>
      <c r="E438" s="11">
        <v>1</v>
      </c>
      <c r="F438" s="5" t="s">
        <v>1287</v>
      </c>
      <c r="G438" s="11" t="s">
        <v>23</v>
      </c>
      <c r="H438" s="11" t="s">
        <v>24</v>
      </c>
      <c r="I438" s="11" t="s">
        <v>25</v>
      </c>
      <c r="J438" s="11" t="s">
        <v>26</v>
      </c>
      <c r="K438" s="52">
        <v>41844</v>
      </c>
      <c r="L438" s="50">
        <v>46084</v>
      </c>
      <c r="M438" s="11" t="s">
        <v>1224</v>
      </c>
      <c r="N438" s="11">
        <v>251976</v>
      </c>
      <c r="O438" s="55">
        <f t="shared" si="8"/>
        <v>251976</v>
      </c>
      <c r="P438" s="11" t="s">
        <v>73</v>
      </c>
      <c r="Q438" s="5" t="s">
        <v>37</v>
      </c>
      <c r="R438" s="34">
        <v>8044464585</v>
      </c>
      <c r="S438" s="5" t="s">
        <v>1223</v>
      </c>
      <c r="T438" s="11" t="s">
        <v>643</v>
      </c>
      <c r="U438" s="11" t="s">
        <v>37</v>
      </c>
    </row>
    <row r="439" spans="1:21" s="1" customFormat="1" ht="26.4" x14ac:dyDescent="0.3">
      <c r="A439" s="11" t="s">
        <v>639</v>
      </c>
      <c r="B439" s="11" t="s">
        <v>649</v>
      </c>
      <c r="C439" s="11" t="s">
        <v>37</v>
      </c>
      <c r="D439" s="11" t="s">
        <v>1222</v>
      </c>
      <c r="E439" s="12">
        <v>1</v>
      </c>
      <c r="F439" s="5" t="s">
        <v>37</v>
      </c>
      <c r="G439" s="11" t="s">
        <v>23</v>
      </c>
      <c r="H439" s="11" t="s">
        <v>24</v>
      </c>
      <c r="I439" s="11" t="s">
        <v>25</v>
      </c>
      <c r="J439" s="11" t="s">
        <v>26</v>
      </c>
      <c r="K439" s="52" t="s">
        <v>37</v>
      </c>
      <c r="L439" s="50">
        <v>46101</v>
      </c>
      <c r="M439" s="11" t="s">
        <v>37</v>
      </c>
      <c r="N439" s="11">
        <v>0</v>
      </c>
      <c r="O439" s="55">
        <f t="shared" si="8"/>
        <v>0</v>
      </c>
      <c r="P439" s="46"/>
      <c r="Q439" s="26" t="s">
        <v>37</v>
      </c>
      <c r="R439" s="26" t="s">
        <v>37</v>
      </c>
      <c r="S439" s="26" t="s">
        <v>37</v>
      </c>
      <c r="T439" s="26" t="s">
        <v>37</v>
      </c>
      <c r="U439" s="11" t="s">
        <v>37</v>
      </c>
    </row>
    <row r="440" spans="1:21" s="1" customFormat="1" ht="14.4" x14ac:dyDescent="0.3">
      <c r="A440" s="11" t="s">
        <v>650</v>
      </c>
      <c r="B440" s="11" t="s">
        <v>651</v>
      </c>
      <c r="C440" s="11" t="s">
        <v>37</v>
      </c>
      <c r="D440" s="11" t="s">
        <v>1222</v>
      </c>
      <c r="E440" s="11">
        <v>1</v>
      </c>
      <c r="F440" s="5" t="s">
        <v>1287</v>
      </c>
      <c r="G440" s="11" t="s">
        <v>23</v>
      </c>
      <c r="H440" s="11" t="s">
        <v>24</v>
      </c>
      <c r="I440" s="11" t="s">
        <v>25</v>
      </c>
      <c r="J440" s="11" t="s">
        <v>26</v>
      </c>
      <c r="K440" s="52">
        <v>41844</v>
      </c>
      <c r="L440" s="50">
        <v>46084</v>
      </c>
      <c r="M440" s="11" t="s">
        <v>1224</v>
      </c>
      <c r="N440" s="11">
        <v>181000</v>
      </c>
      <c r="O440" s="55">
        <f t="shared" si="8"/>
        <v>181000</v>
      </c>
      <c r="P440" s="11" t="s">
        <v>73</v>
      </c>
      <c r="Q440" s="5" t="s">
        <v>37</v>
      </c>
      <c r="R440" s="34">
        <v>8044464585</v>
      </c>
      <c r="S440" s="5" t="s">
        <v>1223</v>
      </c>
      <c r="T440" s="11" t="s">
        <v>643</v>
      </c>
      <c r="U440" s="11" t="s">
        <v>37</v>
      </c>
    </row>
    <row r="441" spans="1:21" s="1" customFormat="1" ht="14.4" x14ac:dyDescent="0.3">
      <c r="A441" s="11" t="s">
        <v>639</v>
      </c>
      <c r="B441" s="11" t="s">
        <v>640</v>
      </c>
      <c r="C441" s="11" t="s">
        <v>37</v>
      </c>
      <c r="D441" s="11" t="s">
        <v>1222</v>
      </c>
      <c r="E441" s="12">
        <v>1</v>
      </c>
      <c r="F441" s="5" t="s">
        <v>37</v>
      </c>
      <c r="G441" s="11" t="s">
        <v>23</v>
      </c>
      <c r="H441" s="11" t="s">
        <v>24</v>
      </c>
      <c r="I441" s="11" t="s">
        <v>25</v>
      </c>
      <c r="J441" s="11" t="s">
        <v>26</v>
      </c>
      <c r="K441" s="52" t="s">
        <v>37</v>
      </c>
      <c r="L441" s="50">
        <v>46101</v>
      </c>
      <c r="M441" s="11" t="s">
        <v>37</v>
      </c>
      <c r="N441" s="11">
        <v>0</v>
      </c>
      <c r="O441" s="55">
        <f t="shared" si="8"/>
        <v>0</v>
      </c>
      <c r="P441" s="46"/>
      <c r="Q441" s="26" t="s">
        <v>37</v>
      </c>
      <c r="R441" s="26" t="s">
        <v>37</v>
      </c>
      <c r="S441" s="26" t="s">
        <v>37</v>
      </c>
      <c r="T441" s="26" t="s">
        <v>37</v>
      </c>
      <c r="U441" s="11" t="s">
        <v>37</v>
      </c>
    </row>
    <row r="442" spans="1:21" s="1" customFormat="1" ht="14.4" x14ac:dyDescent="0.3">
      <c r="A442" s="11" t="s">
        <v>652</v>
      </c>
      <c r="B442" s="11" t="s">
        <v>1429</v>
      </c>
      <c r="C442" s="11" t="s">
        <v>37</v>
      </c>
      <c r="D442" s="11" t="s">
        <v>1222</v>
      </c>
      <c r="E442" s="12">
        <v>4000</v>
      </c>
      <c r="F442" s="5" t="s">
        <v>1287</v>
      </c>
      <c r="G442" s="11" t="s">
        <v>23</v>
      </c>
      <c r="H442" s="11" t="s">
        <v>24</v>
      </c>
      <c r="I442" s="11" t="s">
        <v>653</v>
      </c>
      <c r="J442" s="11" t="s">
        <v>26</v>
      </c>
      <c r="K442" s="52">
        <v>41970</v>
      </c>
      <c r="L442" s="50">
        <v>46084</v>
      </c>
      <c r="M442" s="11" t="s">
        <v>1224</v>
      </c>
      <c r="N442" s="11">
        <v>114</v>
      </c>
      <c r="O442" s="55">
        <f t="shared" si="8"/>
        <v>456000</v>
      </c>
      <c r="P442" s="11"/>
      <c r="Q442" s="5" t="s">
        <v>37</v>
      </c>
      <c r="R442" s="34">
        <v>8044464585</v>
      </c>
      <c r="S442" s="5" t="s">
        <v>1223</v>
      </c>
      <c r="T442" s="11" t="s">
        <v>643</v>
      </c>
      <c r="U442" s="11" t="s">
        <v>37</v>
      </c>
    </row>
    <row r="443" spans="1:21" s="1" customFormat="1" ht="14.4" x14ac:dyDescent="0.3">
      <c r="A443" s="11" t="s">
        <v>652</v>
      </c>
      <c r="B443" s="11" t="s">
        <v>1429</v>
      </c>
      <c r="C443" s="11" t="s">
        <v>37</v>
      </c>
      <c r="D443" s="11" t="s">
        <v>1222</v>
      </c>
      <c r="E443" s="12">
        <v>4000</v>
      </c>
      <c r="F443" s="5" t="s">
        <v>1287</v>
      </c>
      <c r="G443" s="11" t="s">
        <v>23</v>
      </c>
      <c r="H443" s="11" t="s">
        <v>24</v>
      </c>
      <c r="I443" s="11" t="s">
        <v>653</v>
      </c>
      <c r="J443" s="11" t="s">
        <v>26</v>
      </c>
      <c r="K443" s="52">
        <v>41970</v>
      </c>
      <c r="L443" s="50">
        <v>46084</v>
      </c>
      <c r="M443" s="11" t="s">
        <v>1224</v>
      </c>
      <c r="N443" s="11">
        <v>114</v>
      </c>
      <c r="O443" s="55">
        <f t="shared" si="8"/>
        <v>456000</v>
      </c>
      <c r="P443" s="11"/>
      <c r="Q443" s="5" t="s">
        <v>37</v>
      </c>
      <c r="R443" s="34">
        <v>8044464585</v>
      </c>
      <c r="S443" s="5" t="s">
        <v>1223</v>
      </c>
      <c r="T443" s="11" t="s">
        <v>643</v>
      </c>
      <c r="U443" s="11" t="s">
        <v>37</v>
      </c>
    </row>
    <row r="444" spans="1:21" s="1" customFormat="1" ht="14.4" x14ac:dyDescent="0.3">
      <c r="A444" s="11" t="s">
        <v>652</v>
      </c>
      <c r="B444" s="11" t="s">
        <v>1429</v>
      </c>
      <c r="C444" s="11" t="s">
        <v>37</v>
      </c>
      <c r="D444" s="11" t="s">
        <v>1222</v>
      </c>
      <c r="E444" s="12">
        <v>4000</v>
      </c>
      <c r="F444" s="5" t="s">
        <v>1287</v>
      </c>
      <c r="G444" s="11" t="s">
        <v>23</v>
      </c>
      <c r="H444" s="11" t="s">
        <v>24</v>
      </c>
      <c r="I444" s="11" t="s">
        <v>653</v>
      </c>
      <c r="J444" s="11" t="s">
        <v>26</v>
      </c>
      <c r="K444" s="52">
        <v>41970</v>
      </c>
      <c r="L444" s="50">
        <v>46084</v>
      </c>
      <c r="M444" s="11" t="s">
        <v>1224</v>
      </c>
      <c r="N444" s="11">
        <v>114</v>
      </c>
      <c r="O444" s="55">
        <f t="shared" si="8"/>
        <v>456000</v>
      </c>
      <c r="P444" s="11"/>
      <c r="Q444" s="5" t="s">
        <v>37</v>
      </c>
      <c r="R444" s="34">
        <v>8044464585</v>
      </c>
      <c r="S444" s="5" t="s">
        <v>1223</v>
      </c>
      <c r="T444" s="11" t="s">
        <v>643</v>
      </c>
      <c r="U444" s="11" t="s">
        <v>37</v>
      </c>
    </row>
    <row r="445" spans="1:21" s="1" customFormat="1" ht="14.4" x14ac:dyDescent="0.3">
      <c r="A445" s="11" t="s">
        <v>652</v>
      </c>
      <c r="B445" s="11" t="s">
        <v>1429</v>
      </c>
      <c r="C445" s="11" t="s">
        <v>37</v>
      </c>
      <c r="D445" s="11" t="s">
        <v>1222</v>
      </c>
      <c r="E445" s="12">
        <v>4000</v>
      </c>
      <c r="F445" s="5" t="s">
        <v>1287</v>
      </c>
      <c r="G445" s="11" t="s">
        <v>23</v>
      </c>
      <c r="H445" s="11" t="s">
        <v>24</v>
      </c>
      <c r="I445" s="11" t="s">
        <v>653</v>
      </c>
      <c r="J445" s="11" t="s">
        <v>26</v>
      </c>
      <c r="K445" s="52">
        <v>41970</v>
      </c>
      <c r="L445" s="50">
        <v>46084</v>
      </c>
      <c r="M445" s="11" t="s">
        <v>1224</v>
      </c>
      <c r="N445" s="11">
        <v>114</v>
      </c>
      <c r="O445" s="55">
        <f t="shared" si="8"/>
        <v>456000</v>
      </c>
      <c r="P445" s="11"/>
      <c r="Q445" s="5" t="s">
        <v>37</v>
      </c>
      <c r="R445" s="34">
        <v>8044464585</v>
      </c>
      <c r="S445" s="5" t="s">
        <v>1223</v>
      </c>
      <c r="T445" s="11" t="s">
        <v>643</v>
      </c>
      <c r="U445" s="11" t="s">
        <v>37</v>
      </c>
    </row>
    <row r="446" spans="1:21" s="1" customFormat="1" ht="14.4" x14ac:dyDescent="0.3">
      <c r="A446" s="11" t="s">
        <v>652</v>
      </c>
      <c r="B446" s="11" t="s">
        <v>1429</v>
      </c>
      <c r="C446" s="11" t="s">
        <v>37</v>
      </c>
      <c r="D446" s="11" t="s">
        <v>1222</v>
      </c>
      <c r="E446" s="12">
        <v>4000</v>
      </c>
      <c r="F446" s="5" t="s">
        <v>1287</v>
      </c>
      <c r="G446" s="11" t="s">
        <v>23</v>
      </c>
      <c r="H446" s="11" t="s">
        <v>24</v>
      </c>
      <c r="I446" s="11" t="s">
        <v>653</v>
      </c>
      <c r="J446" s="11" t="s">
        <v>26</v>
      </c>
      <c r="K446" s="52">
        <v>41970</v>
      </c>
      <c r="L446" s="50">
        <v>46084</v>
      </c>
      <c r="M446" s="11" t="s">
        <v>1224</v>
      </c>
      <c r="N446" s="11">
        <v>114</v>
      </c>
      <c r="O446" s="55">
        <f t="shared" si="8"/>
        <v>456000</v>
      </c>
      <c r="P446" s="11"/>
      <c r="Q446" s="5" t="s">
        <v>37</v>
      </c>
      <c r="R446" s="34">
        <v>8044464585</v>
      </c>
      <c r="S446" s="5" t="s">
        <v>1223</v>
      </c>
      <c r="T446" s="11" t="s">
        <v>643</v>
      </c>
      <c r="U446" s="11" t="s">
        <v>37</v>
      </c>
    </row>
    <row r="447" spans="1:21" s="1" customFormat="1" ht="14.4" x14ac:dyDescent="0.3">
      <c r="A447" s="11" t="s">
        <v>652</v>
      </c>
      <c r="B447" s="11" t="s">
        <v>1429</v>
      </c>
      <c r="C447" s="11" t="s">
        <v>37</v>
      </c>
      <c r="D447" s="11" t="s">
        <v>1222</v>
      </c>
      <c r="E447" s="12">
        <v>4000</v>
      </c>
      <c r="F447" s="5" t="s">
        <v>1287</v>
      </c>
      <c r="G447" s="11" t="s">
        <v>23</v>
      </c>
      <c r="H447" s="11" t="s">
        <v>24</v>
      </c>
      <c r="I447" s="11" t="s">
        <v>653</v>
      </c>
      <c r="J447" s="11" t="s">
        <v>26</v>
      </c>
      <c r="K447" s="52">
        <v>41970</v>
      </c>
      <c r="L447" s="50">
        <v>46084</v>
      </c>
      <c r="M447" s="11" t="s">
        <v>1224</v>
      </c>
      <c r="N447" s="11">
        <v>114</v>
      </c>
      <c r="O447" s="55">
        <f t="shared" si="8"/>
        <v>456000</v>
      </c>
      <c r="P447" s="11"/>
      <c r="Q447" s="5" t="s">
        <v>37</v>
      </c>
      <c r="R447" s="34">
        <v>8044464585</v>
      </c>
      <c r="S447" s="5" t="s">
        <v>1223</v>
      </c>
      <c r="T447" s="11" t="s">
        <v>643</v>
      </c>
      <c r="U447" s="11" t="s">
        <v>37</v>
      </c>
    </row>
    <row r="448" spans="1:21" s="1" customFormat="1" ht="14.4" x14ac:dyDescent="0.3">
      <c r="A448" s="11" t="s">
        <v>652</v>
      </c>
      <c r="B448" s="11" t="s">
        <v>1429</v>
      </c>
      <c r="C448" s="11" t="s">
        <v>37</v>
      </c>
      <c r="D448" s="11" t="s">
        <v>1222</v>
      </c>
      <c r="E448" s="12">
        <v>4000</v>
      </c>
      <c r="F448" s="5" t="s">
        <v>1287</v>
      </c>
      <c r="G448" s="11" t="s">
        <v>23</v>
      </c>
      <c r="H448" s="11" t="s">
        <v>24</v>
      </c>
      <c r="I448" s="11" t="s">
        <v>653</v>
      </c>
      <c r="J448" s="11" t="s">
        <v>26</v>
      </c>
      <c r="K448" s="52">
        <v>41970</v>
      </c>
      <c r="L448" s="50">
        <v>46084</v>
      </c>
      <c r="M448" s="11" t="s">
        <v>1224</v>
      </c>
      <c r="N448" s="11">
        <v>114</v>
      </c>
      <c r="O448" s="55">
        <f t="shared" si="8"/>
        <v>456000</v>
      </c>
      <c r="P448" s="11"/>
      <c r="Q448" s="5" t="s">
        <v>37</v>
      </c>
      <c r="R448" s="34">
        <v>8044464585</v>
      </c>
      <c r="S448" s="5" t="s">
        <v>1223</v>
      </c>
      <c r="T448" s="11" t="s">
        <v>643</v>
      </c>
      <c r="U448" s="11" t="s">
        <v>37</v>
      </c>
    </row>
    <row r="449" spans="1:21" s="1" customFormat="1" ht="26.4" x14ac:dyDescent="0.3">
      <c r="A449" s="11" t="s">
        <v>1340</v>
      </c>
      <c r="B449" s="11" t="s">
        <v>1343</v>
      </c>
      <c r="C449" s="11" t="s">
        <v>1344</v>
      </c>
      <c r="D449" s="11" t="s">
        <v>1222</v>
      </c>
      <c r="E449" s="12">
        <v>54</v>
      </c>
      <c r="F449" s="5" t="s">
        <v>1345</v>
      </c>
      <c r="G449" s="11" t="s">
        <v>23</v>
      </c>
      <c r="H449" s="11" t="s">
        <v>24</v>
      </c>
      <c r="I449" s="11" t="s">
        <v>653</v>
      </c>
      <c r="J449" s="11" t="s">
        <v>26</v>
      </c>
      <c r="K449" s="52">
        <v>46001</v>
      </c>
      <c r="L449" s="50">
        <v>46101</v>
      </c>
      <c r="M449" s="11" t="s">
        <v>1346</v>
      </c>
      <c r="N449" s="11">
        <v>79138.89</v>
      </c>
      <c r="O449" s="55">
        <f t="shared" si="8"/>
        <v>4273500.0599999996</v>
      </c>
      <c r="P449" s="11"/>
      <c r="Q449" s="43" t="s">
        <v>1350</v>
      </c>
      <c r="R449" s="5">
        <v>9422033384</v>
      </c>
      <c r="S449" s="5" t="s">
        <v>1351</v>
      </c>
      <c r="T449" s="11" t="s">
        <v>941</v>
      </c>
      <c r="U449" s="11" t="s">
        <v>37</v>
      </c>
    </row>
    <row r="450" spans="1:21" s="1" customFormat="1" ht="26.4" x14ac:dyDescent="0.3">
      <c r="A450" s="11" t="s">
        <v>1341</v>
      </c>
      <c r="B450" s="11" t="s">
        <v>1343</v>
      </c>
      <c r="C450" s="11" t="s">
        <v>1344</v>
      </c>
      <c r="D450" s="11" t="s">
        <v>1222</v>
      </c>
      <c r="E450" s="12">
        <v>54</v>
      </c>
      <c r="F450" s="5" t="s">
        <v>1345</v>
      </c>
      <c r="G450" s="11" t="s">
        <v>23</v>
      </c>
      <c r="H450" s="11" t="s">
        <v>24</v>
      </c>
      <c r="I450" s="11" t="s">
        <v>653</v>
      </c>
      <c r="J450" s="11" t="s">
        <v>26</v>
      </c>
      <c r="K450" s="52">
        <v>46001</v>
      </c>
      <c r="L450" s="50">
        <v>46101</v>
      </c>
      <c r="M450" s="11" t="s">
        <v>1346</v>
      </c>
      <c r="N450" s="11">
        <v>79138.89</v>
      </c>
      <c r="O450" s="55">
        <f t="shared" si="8"/>
        <v>4273500.0599999996</v>
      </c>
      <c r="P450" s="11"/>
      <c r="Q450" s="43" t="s">
        <v>1350</v>
      </c>
      <c r="R450" s="5">
        <v>9422033384</v>
      </c>
      <c r="S450" s="5" t="s">
        <v>1351</v>
      </c>
      <c r="T450" s="11" t="s">
        <v>941</v>
      </c>
      <c r="U450" s="11" t="s">
        <v>37</v>
      </c>
    </row>
    <row r="451" spans="1:21" s="1" customFormat="1" ht="26.4" x14ac:dyDescent="0.3">
      <c r="A451" s="11" t="s">
        <v>1342</v>
      </c>
      <c r="B451" s="11" t="s">
        <v>1343</v>
      </c>
      <c r="C451" s="11" t="s">
        <v>1344</v>
      </c>
      <c r="D451" s="11" t="s">
        <v>1222</v>
      </c>
      <c r="E451" s="12">
        <v>54</v>
      </c>
      <c r="F451" s="5" t="s">
        <v>1345</v>
      </c>
      <c r="G451" s="11" t="s">
        <v>23</v>
      </c>
      <c r="H451" s="11" t="s">
        <v>24</v>
      </c>
      <c r="I451" s="11" t="s">
        <v>653</v>
      </c>
      <c r="J451" s="11" t="s">
        <v>26</v>
      </c>
      <c r="K451" s="52">
        <v>46001</v>
      </c>
      <c r="L451" s="50">
        <v>46101</v>
      </c>
      <c r="M451" s="11" t="s">
        <v>1346</v>
      </c>
      <c r="N451" s="11">
        <v>79138.89</v>
      </c>
      <c r="O451" s="55">
        <f t="shared" si="8"/>
        <v>4273500.0599999996</v>
      </c>
      <c r="P451" s="11"/>
      <c r="Q451" s="43" t="s">
        <v>1350</v>
      </c>
      <c r="R451" s="5">
        <v>9422033384</v>
      </c>
      <c r="S451" s="5" t="s">
        <v>1351</v>
      </c>
      <c r="T451" s="11" t="s">
        <v>941</v>
      </c>
      <c r="U451" s="11" t="s">
        <v>37</v>
      </c>
    </row>
    <row r="452" spans="1:21" s="1" customFormat="1" ht="26.4" x14ac:dyDescent="0.3">
      <c r="A452" s="11" t="s">
        <v>1347</v>
      </c>
      <c r="B452" s="11" t="s">
        <v>1343</v>
      </c>
      <c r="C452" s="11" t="s">
        <v>1344</v>
      </c>
      <c r="D452" s="11" t="s">
        <v>1222</v>
      </c>
      <c r="E452" s="12">
        <v>54</v>
      </c>
      <c r="F452" s="5" t="s">
        <v>1348</v>
      </c>
      <c r="G452" s="11" t="s">
        <v>23</v>
      </c>
      <c r="H452" s="11" t="s">
        <v>24</v>
      </c>
      <c r="I452" s="11" t="s">
        <v>653</v>
      </c>
      <c r="J452" s="11" t="s">
        <v>26</v>
      </c>
      <c r="K452" s="52">
        <v>45645</v>
      </c>
      <c r="L452" s="50">
        <v>46101</v>
      </c>
      <c r="M452" s="11" t="s">
        <v>1349</v>
      </c>
      <c r="N452" s="11">
        <v>79200</v>
      </c>
      <c r="O452" s="55">
        <f t="shared" si="8"/>
        <v>4276800</v>
      </c>
      <c r="P452" s="11"/>
      <c r="Q452" s="43" t="s">
        <v>1352</v>
      </c>
      <c r="R452" s="5">
        <v>9422033384</v>
      </c>
      <c r="S452" s="5" t="s">
        <v>1353</v>
      </c>
      <c r="T452" s="11" t="s">
        <v>41</v>
      </c>
      <c r="U452" s="11" t="s">
        <v>37</v>
      </c>
    </row>
    <row r="453" spans="1:21" s="1" customFormat="1" ht="26.4" x14ac:dyDescent="0.3">
      <c r="A453" s="11" t="s">
        <v>1354</v>
      </c>
      <c r="B453" s="11" t="s">
        <v>1343</v>
      </c>
      <c r="C453" s="11" t="s">
        <v>1344</v>
      </c>
      <c r="D453" s="11" t="s">
        <v>1222</v>
      </c>
      <c r="E453" s="12">
        <v>54</v>
      </c>
      <c r="F453" s="5" t="s">
        <v>1345</v>
      </c>
      <c r="G453" s="11" t="s">
        <v>23</v>
      </c>
      <c r="H453" s="11" t="s">
        <v>24</v>
      </c>
      <c r="I453" s="11" t="s">
        <v>653</v>
      </c>
      <c r="J453" s="11" t="s">
        <v>26</v>
      </c>
      <c r="K453" s="52">
        <v>45259</v>
      </c>
      <c r="L453" s="50">
        <v>46101</v>
      </c>
      <c r="M453" s="11" t="s">
        <v>1358</v>
      </c>
      <c r="N453" s="11">
        <v>94400</v>
      </c>
      <c r="O453" s="55">
        <f t="shared" si="8"/>
        <v>5097600</v>
      </c>
      <c r="P453" s="11"/>
      <c r="Q453" s="43" t="s">
        <v>1350</v>
      </c>
      <c r="R453" s="5">
        <v>9422033384</v>
      </c>
      <c r="S453" s="5" t="s">
        <v>1351</v>
      </c>
      <c r="T453" s="11" t="s">
        <v>941</v>
      </c>
      <c r="U453" s="11" t="s">
        <v>37</v>
      </c>
    </row>
    <row r="454" spans="1:21" s="1" customFormat="1" ht="26.4" x14ac:dyDescent="0.3">
      <c r="A454" s="11" t="s">
        <v>1355</v>
      </c>
      <c r="B454" s="11" t="s">
        <v>1343</v>
      </c>
      <c r="C454" s="11" t="s">
        <v>1344</v>
      </c>
      <c r="D454" s="11" t="s">
        <v>1222</v>
      </c>
      <c r="E454" s="12">
        <v>54</v>
      </c>
      <c r="F454" s="5" t="s">
        <v>1345</v>
      </c>
      <c r="G454" s="11" t="s">
        <v>23</v>
      </c>
      <c r="H454" s="11" t="s">
        <v>24</v>
      </c>
      <c r="I454" s="11" t="s">
        <v>653</v>
      </c>
      <c r="J454" s="11" t="s">
        <v>26</v>
      </c>
      <c r="K454" s="52">
        <v>45259</v>
      </c>
      <c r="L454" s="50">
        <v>46101</v>
      </c>
      <c r="M454" s="11" t="s">
        <v>1358</v>
      </c>
      <c r="N454" s="11">
        <v>94400</v>
      </c>
      <c r="O454" s="55">
        <f t="shared" si="8"/>
        <v>5097600</v>
      </c>
      <c r="P454" s="11"/>
      <c r="Q454" s="43" t="s">
        <v>1350</v>
      </c>
      <c r="R454" s="5">
        <v>9422033384</v>
      </c>
      <c r="S454" s="5" t="s">
        <v>1351</v>
      </c>
      <c r="T454" s="11" t="s">
        <v>941</v>
      </c>
      <c r="U454" s="11" t="s">
        <v>37</v>
      </c>
    </row>
    <row r="455" spans="1:21" s="1" customFormat="1" ht="26.4" x14ac:dyDescent="0.3">
      <c r="A455" s="11" t="s">
        <v>654</v>
      </c>
      <c r="B455" s="11" t="s">
        <v>655</v>
      </c>
      <c r="C455" s="11" t="s">
        <v>656</v>
      </c>
      <c r="D455" s="11" t="s">
        <v>1222</v>
      </c>
      <c r="E455" s="12">
        <v>1</v>
      </c>
      <c r="F455" s="5" t="s">
        <v>37</v>
      </c>
      <c r="G455" s="11" t="s">
        <v>23</v>
      </c>
      <c r="H455" s="11" t="s">
        <v>24</v>
      </c>
      <c r="I455" s="11" t="s">
        <v>25</v>
      </c>
      <c r="J455" s="11" t="s">
        <v>26</v>
      </c>
      <c r="K455" s="52" t="s">
        <v>37</v>
      </c>
      <c r="L455" s="50">
        <v>46101</v>
      </c>
      <c r="M455" s="11" t="s">
        <v>37</v>
      </c>
      <c r="N455" s="11">
        <v>0</v>
      </c>
      <c r="O455" s="55">
        <f t="shared" si="8"/>
        <v>0</v>
      </c>
      <c r="P455" s="25"/>
      <c r="Q455" s="26" t="s">
        <v>37</v>
      </c>
      <c r="R455" s="26" t="s">
        <v>37</v>
      </c>
      <c r="S455" s="26" t="s">
        <v>37</v>
      </c>
      <c r="T455" s="26" t="s">
        <v>37</v>
      </c>
      <c r="U455" s="11" t="s">
        <v>37</v>
      </c>
    </row>
    <row r="456" spans="1:21" s="1" customFormat="1" ht="14.4" x14ac:dyDescent="0.3">
      <c r="A456" s="33" t="s">
        <v>657</v>
      </c>
      <c r="B456" s="11" t="s">
        <v>658</v>
      </c>
      <c r="C456" s="11" t="s">
        <v>37</v>
      </c>
      <c r="D456" s="11" t="s">
        <v>1222</v>
      </c>
      <c r="E456" s="11">
        <v>1</v>
      </c>
      <c r="F456" s="5" t="s">
        <v>638</v>
      </c>
      <c r="G456" s="11" t="s">
        <v>23</v>
      </c>
      <c r="H456" s="11" t="s">
        <v>24</v>
      </c>
      <c r="I456" s="11" t="s">
        <v>25</v>
      </c>
      <c r="J456" s="11" t="s">
        <v>26</v>
      </c>
      <c r="K456" s="52">
        <v>41164</v>
      </c>
      <c r="L456" s="50">
        <v>46032</v>
      </c>
      <c r="M456" s="5" t="s">
        <v>642</v>
      </c>
      <c r="N456" s="54">
        <v>44925.33</v>
      </c>
      <c r="O456" s="55">
        <f t="shared" si="8"/>
        <v>44925.33</v>
      </c>
      <c r="P456" s="11" t="s">
        <v>1170</v>
      </c>
      <c r="Q456" s="11" t="s">
        <v>37</v>
      </c>
      <c r="R456" s="11" t="s">
        <v>37</v>
      </c>
      <c r="S456" s="11" t="s">
        <v>37</v>
      </c>
      <c r="T456" s="11" t="s">
        <v>643</v>
      </c>
      <c r="U456" s="11" t="s">
        <v>37</v>
      </c>
    </row>
    <row r="457" spans="1:21" s="1" customFormat="1" ht="14.4" x14ac:dyDescent="0.3">
      <c r="A457" s="11" t="s">
        <v>646</v>
      </c>
      <c r="B457" s="11" t="s">
        <v>1225</v>
      </c>
      <c r="C457" s="11" t="s">
        <v>37</v>
      </c>
      <c r="D457" s="11" t="s">
        <v>1222</v>
      </c>
      <c r="E457" s="11">
        <v>1</v>
      </c>
      <c r="F457" s="5" t="s">
        <v>1287</v>
      </c>
      <c r="G457" s="11" t="s">
        <v>23</v>
      </c>
      <c r="H457" s="11" t="s">
        <v>24</v>
      </c>
      <c r="I457" s="11" t="s">
        <v>25</v>
      </c>
      <c r="J457" s="11" t="s">
        <v>26</v>
      </c>
      <c r="K457" s="52">
        <v>41844</v>
      </c>
      <c r="L457" s="50">
        <v>46084</v>
      </c>
      <c r="M457" s="11" t="s">
        <v>1224</v>
      </c>
      <c r="N457" s="11">
        <v>181000</v>
      </c>
      <c r="O457" s="55">
        <f t="shared" si="8"/>
        <v>181000</v>
      </c>
      <c r="P457" s="11" t="s">
        <v>73</v>
      </c>
      <c r="Q457" s="5" t="s">
        <v>37</v>
      </c>
      <c r="R457" s="34">
        <v>8044464585</v>
      </c>
      <c r="S457" s="5" t="s">
        <v>1223</v>
      </c>
      <c r="T457" s="11" t="s">
        <v>643</v>
      </c>
      <c r="U457" s="11" t="s">
        <v>37</v>
      </c>
    </row>
    <row r="458" spans="1:21" s="1" customFormat="1" ht="14.4" x14ac:dyDescent="0.3">
      <c r="A458" s="11" t="s">
        <v>639</v>
      </c>
      <c r="B458" s="11" t="s">
        <v>659</v>
      </c>
      <c r="C458" s="11" t="s">
        <v>37</v>
      </c>
      <c r="D458" s="11" t="s">
        <v>1222</v>
      </c>
      <c r="E458" s="12">
        <v>1</v>
      </c>
      <c r="F458" s="5" t="s">
        <v>37</v>
      </c>
      <c r="G458" s="11" t="s">
        <v>23</v>
      </c>
      <c r="H458" s="11" t="s">
        <v>24</v>
      </c>
      <c r="I458" s="11" t="s">
        <v>25</v>
      </c>
      <c r="J458" s="11" t="s">
        <v>26</v>
      </c>
      <c r="K458" s="52" t="s">
        <v>37</v>
      </c>
      <c r="L458" s="50">
        <v>46101</v>
      </c>
      <c r="M458" s="11" t="s">
        <v>37</v>
      </c>
      <c r="N458" s="11">
        <v>0</v>
      </c>
      <c r="O458" s="55">
        <f t="shared" si="8"/>
        <v>0</v>
      </c>
      <c r="P458" s="46"/>
      <c r="Q458" s="26" t="s">
        <v>37</v>
      </c>
      <c r="R458" s="26" t="s">
        <v>37</v>
      </c>
      <c r="S458" s="26" t="s">
        <v>37</v>
      </c>
      <c r="T458" s="26" t="s">
        <v>37</v>
      </c>
      <c r="U458" s="11" t="s">
        <v>37</v>
      </c>
    </row>
    <row r="459" spans="1:21" s="1" customFormat="1" ht="14.4" x14ac:dyDescent="0.3">
      <c r="A459" s="11" t="s">
        <v>637</v>
      </c>
      <c r="B459" s="11" t="s">
        <v>686</v>
      </c>
      <c r="C459" s="11" t="s">
        <v>37</v>
      </c>
      <c r="D459" s="11" t="s">
        <v>1222</v>
      </c>
      <c r="E459" s="11">
        <v>1</v>
      </c>
      <c r="F459" s="5" t="s">
        <v>1287</v>
      </c>
      <c r="G459" s="11" t="s">
        <v>23</v>
      </c>
      <c r="H459" s="11" t="s">
        <v>24</v>
      </c>
      <c r="I459" s="11" t="s">
        <v>25</v>
      </c>
      <c r="J459" s="11" t="s">
        <v>26</v>
      </c>
      <c r="K459" s="52">
        <v>41844</v>
      </c>
      <c r="L459" s="50">
        <v>46084</v>
      </c>
      <c r="M459" s="11" t="s">
        <v>1224</v>
      </c>
      <c r="N459" s="11">
        <v>266310</v>
      </c>
      <c r="O459" s="55">
        <f t="shared" si="8"/>
        <v>266310</v>
      </c>
      <c r="P459" s="11" t="s">
        <v>73</v>
      </c>
      <c r="Q459" s="5" t="s">
        <v>37</v>
      </c>
      <c r="R459" s="34">
        <v>8044464585</v>
      </c>
      <c r="S459" s="5" t="s">
        <v>1223</v>
      </c>
      <c r="T459" s="11" t="s">
        <v>643</v>
      </c>
      <c r="U459" s="11" t="s">
        <v>37</v>
      </c>
    </row>
    <row r="460" spans="1:21" s="1" customFormat="1" ht="26.4" x14ac:dyDescent="0.3">
      <c r="A460" s="11" t="s">
        <v>639</v>
      </c>
      <c r="B460" s="11" t="s">
        <v>660</v>
      </c>
      <c r="C460" s="11" t="s">
        <v>37</v>
      </c>
      <c r="D460" s="11" t="s">
        <v>1222</v>
      </c>
      <c r="E460" s="12">
        <v>1</v>
      </c>
      <c r="F460" s="5" t="s">
        <v>37</v>
      </c>
      <c r="G460" s="11" t="s">
        <v>23</v>
      </c>
      <c r="H460" s="11" t="s">
        <v>24</v>
      </c>
      <c r="I460" s="11" t="s">
        <v>25</v>
      </c>
      <c r="J460" s="11" t="s">
        <v>26</v>
      </c>
      <c r="K460" s="52" t="s">
        <v>37</v>
      </c>
      <c r="L460" s="50">
        <v>46101</v>
      </c>
      <c r="M460" s="11" t="s">
        <v>37</v>
      </c>
      <c r="N460" s="11">
        <v>0</v>
      </c>
      <c r="O460" s="55">
        <f t="shared" si="8"/>
        <v>0</v>
      </c>
      <c r="P460" s="46"/>
      <c r="Q460" s="26" t="s">
        <v>37</v>
      </c>
      <c r="R460" s="26" t="s">
        <v>37</v>
      </c>
      <c r="S460" s="26" t="s">
        <v>37</v>
      </c>
      <c r="T460" s="26" t="s">
        <v>37</v>
      </c>
      <c r="U460" s="11" t="s">
        <v>37</v>
      </c>
    </row>
    <row r="461" spans="1:21" s="1" customFormat="1" ht="14.4" x14ac:dyDescent="0.3">
      <c r="A461" s="11" t="s">
        <v>648</v>
      </c>
      <c r="B461" s="11" t="s">
        <v>681</v>
      </c>
      <c r="C461" s="11" t="s">
        <v>37</v>
      </c>
      <c r="D461" s="11" t="s">
        <v>1222</v>
      </c>
      <c r="E461" s="11">
        <v>1</v>
      </c>
      <c r="F461" s="5" t="s">
        <v>1287</v>
      </c>
      <c r="G461" s="11" t="s">
        <v>23</v>
      </c>
      <c r="H461" s="11" t="s">
        <v>24</v>
      </c>
      <c r="I461" s="11" t="s">
        <v>25</v>
      </c>
      <c r="J461" s="11" t="s">
        <v>26</v>
      </c>
      <c r="K461" s="52">
        <v>41844</v>
      </c>
      <c r="L461" s="50">
        <v>46084</v>
      </c>
      <c r="M461" s="11" t="s">
        <v>1224</v>
      </c>
      <c r="N461" s="11">
        <v>251976</v>
      </c>
      <c r="O461" s="55">
        <f t="shared" si="8"/>
        <v>251976</v>
      </c>
      <c r="P461" s="11" t="s">
        <v>73</v>
      </c>
      <c r="Q461" s="5" t="s">
        <v>37</v>
      </c>
      <c r="R461" s="34">
        <v>8044464585</v>
      </c>
      <c r="S461" s="5" t="s">
        <v>1223</v>
      </c>
      <c r="T461" s="11" t="s">
        <v>643</v>
      </c>
      <c r="U461" s="11" t="s">
        <v>37</v>
      </c>
    </row>
    <row r="462" spans="1:21" s="1" customFormat="1" ht="14.4" x14ac:dyDescent="0.3">
      <c r="A462" s="11" t="s">
        <v>639</v>
      </c>
      <c r="B462" s="11" t="s">
        <v>661</v>
      </c>
      <c r="C462" s="11" t="s">
        <v>37</v>
      </c>
      <c r="D462" s="11" t="s">
        <v>1222</v>
      </c>
      <c r="E462" s="12">
        <v>1</v>
      </c>
      <c r="F462" s="5" t="s">
        <v>37</v>
      </c>
      <c r="G462" s="11" t="s">
        <v>23</v>
      </c>
      <c r="H462" s="11" t="s">
        <v>24</v>
      </c>
      <c r="I462" s="11" t="s">
        <v>25</v>
      </c>
      <c r="J462" s="11" t="s">
        <v>26</v>
      </c>
      <c r="K462" s="52" t="s">
        <v>37</v>
      </c>
      <c r="L462" s="50">
        <v>46101</v>
      </c>
      <c r="M462" s="11" t="s">
        <v>37</v>
      </c>
      <c r="N462" s="11">
        <v>0</v>
      </c>
      <c r="O462" s="55">
        <f t="shared" si="8"/>
        <v>0</v>
      </c>
      <c r="P462" s="46"/>
      <c r="Q462" s="26" t="s">
        <v>37</v>
      </c>
      <c r="R462" s="26" t="s">
        <v>37</v>
      </c>
      <c r="S462" s="26" t="s">
        <v>37</v>
      </c>
      <c r="T462" s="26" t="s">
        <v>37</v>
      </c>
      <c r="U462" s="11" t="s">
        <v>37</v>
      </c>
    </row>
    <row r="463" spans="1:21" s="1" customFormat="1" ht="14.4" x14ac:dyDescent="0.3">
      <c r="A463" s="11" t="s">
        <v>650</v>
      </c>
      <c r="B463" s="11" t="s">
        <v>651</v>
      </c>
      <c r="C463" s="11" t="s">
        <v>37</v>
      </c>
      <c r="D463" s="11" t="s">
        <v>1222</v>
      </c>
      <c r="E463" s="11">
        <v>1</v>
      </c>
      <c r="F463" s="5" t="s">
        <v>1287</v>
      </c>
      <c r="G463" s="11" t="s">
        <v>23</v>
      </c>
      <c r="H463" s="11" t="s">
        <v>24</v>
      </c>
      <c r="I463" s="11" t="s">
        <v>25</v>
      </c>
      <c r="J463" s="11" t="s">
        <v>26</v>
      </c>
      <c r="K463" s="52">
        <v>41844</v>
      </c>
      <c r="L463" s="50">
        <v>46084</v>
      </c>
      <c r="M463" s="11" t="s">
        <v>1224</v>
      </c>
      <c r="N463" s="11">
        <v>181000</v>
      </c>
      <c r="O463" s="55">
        <f t="shared" si="8"/>
        <v>181000</v>
      </c>
      <c r="P463" s="11" t="s">
        <v>73</v>
      </c>
      <c r="Q463" s="5" t="s">
        <v>37</v>
      </c>
      <c r="R463" s="34">
        <v>8044464585</v>
      </c>
      <c r="S463" s="5" t="s">
        <v>1223</v>
      </c>
      <c r="T463" s="11" t="s">
        <v>643</v>
      </c>
      <c r="U463" s="11" t="s">
        <v>37</v>
      </c>
    </row>
    <row r="464" spans="1:21" s="1" customFormat="1" ht="26.4" x14ac:dyDescent="0.3">
      <c r="A464" s="11" t="s">
        <v>639</v>
      </c>
      <c r="B464" s="11" t="s">
        <v>662</v>
      </c>
      <c r="C464" s="11" t="s">
        <v>37</v>
      </c>
      <c r="D464" s="11" t="s">
        <v>1222</v>
      </c>
      <c r="E464" s="12">
        <v>1</v>
      </c>
      <c r="F464" s="5" t="s">
        <v>37</v>
      </c>
      <c r="G464" s="11" t="s">
        <v>23</v>
      </c>
      <c r="H464" s="11" t="s">
        <v>24</v>
      </c>
      <c r="I464" s="11" t="s">
        <v>25</v>
      </c>
      <c r="J464" s="11" t="s">
        <v>26</v>
      </c>
      <c r="K464" s="52" t="s">
        <v>37</v>
      </c>
      <c r="L464" s="50">
        <v>46101</v>
      </c>
      <c r="M464" s="11" t="s">
        <v>37</v>
      </c>
      <c r="N464" s="11">
        <v>0</v>
      </c>
      <c r="O464" s="55">
        <f t="shared" si="8"/>
        <v>0</v>
      </c>
      <c r="P464" s="46"/>
      <c r="Q464" s="26" t="s">
        <v>37</v>
      </c>
      <c r="R464" s="26" t="s">
        <v>37</v>
      </c>
      <c r="S464" s="26" t="s">
        <v>37</v>
      </c>
      <c r="T464" s="26" t="s">
        <v>37</v>
      </c>
      <c r="U464" s="11" t="s">
        <v>37</v>
      </c>
    </row>
    <row r="465" spans="1:21" s="1" customFormat="1" ht="26.4" x14ac:dyDescent="0.3">
      <c r="A465" s="11" t="s">
        <v>654</v>
      </c>
      <c r="B465" s="11" t="s">
        <v>655</v>
      </c>
      <c r="C465" s="11" t="s">
        <v>656</v>
      </c>
      <c r="D465" s="11" t="s">
        <v>1222</v>
      </c>
      <c r="E465" s="12">
        <v>1</v>
      </c>
      <c r="F465" s="5" t="s">
        <v>37</v>
      </c>
      <c r="G465" s="11" t="s">
        <v>23</v>
      </c>
      <c r="H465" s="11" t="s">
        <v>24</v>
      </c>
      <c r="I465" s="11" t="s">
        <v>25</v>
      </c>
      <c r="J465" s="11" t="s">
        <v>26</v>
      </c>
      <c r="K465" s="52" t="s">
        <v>37</v>
      </c>
      <c r="L465" s="50">
        <v>46101</v>
      </c>
      <c r="M465" s="11" t="s">
        <v>37</v>
      </c>
      <c r="N465" s="11">
        <v>0</v>
      </c>
      <c r="O465" s="55">
        <f t="shared" si="8"/>
        <v>0</v>
      </c>
      <c r="P465" s="25"/>
      <c r="Q465" s="26" t="s">
        <v>37</v>
      </c>
      <c r="R465" s="26" t="s">
        <v>37</v>
      </c>
      <c r="S465" s="26" t="s">
        <v>37</v>
      </c>
      <c r="T465" s="26" t="s">
        <v>37</v>
      </c>
      <c r="U465" s="11" t="s">
        <v>37</v>
      </c>
    </row>
    <row r="466" spans="1:21" s="1" customFormat="1" ht="26.4" x14ac:dyDescent="0.3">
      <c r="A466" s="11" t="s">
        <v>1356</v>
      </c>
      <c r="B466" s="11" t="s">
        <v>1343</v>
      </c>
      <c r="C466" s="11" t="s">
        <v>1344</v>
      </c>
      <c r="D466" s="11" t="s">
        <v>1222</v>
      </c>
      <c r="E466" s="12">
        <v>54</v>
      </c>
      <c r="F466" s="5" t="s">
        <v>1345</v>
      </c>
      <c r="G466" s="11" t="s">
        <v>23</v>
      </c>
      <c r="H466" s="11" t="s">
        <v>24</v>
      </c>
      <c r="I466" s="11" t="s">
        <v>653</v>
      </c>
      <c r="J466" s="11" t="s">
        <v>26</v>
      </c>
      <c r="K466" s="52">
        <v>45259</v>
      </c>
      <c r="L466" s="50">
        <v>46101</v>
      </c>
      <c r="M466" s="11" t="s">
        <v>1358</v>
      </c>
      <c r="N466" s="11">
        <v>94400</v>
      </c>
      <c r="O466" s="55">
        <f t="shared" ref="O466:O497" si="9">N466*E466</f>
        <v>5097600</v>
      </c>
      <c r="P466" s="11"/>
      <c r="Q466" s="43" t="s">
        <v>1350</v>
      </c>
      <c r="R466" s="5">
        <v>9422033384</v>
      </c>
      <c r="S466" s="5" t="s">
        <v>1351</v>
      </c>
      <c r="T466" s="11" t="s">
        <v>941</v>
      </c>
      <c r="U466" s="11" t="s">
        <v>37</v>
      </c>
    </row>
    <row r="467" spans="1:21" s="1" customFormat="1" ht="14.4" x14ac:dyDescent="0.3">
      <c r="A467" s="33" t="s">
        <v>663</v>
      </c>
      <c r="B467" s="11" t="s">
        <v>664</v>
      </c>
      <c r="C467" s="11" t="s">
        <v>37</v>
      </c>
      <c r="D467" s="11" t="s">
        <v>1222</v>
      </c>
      <c r="E467" s="11">
        <v>1</v>
      </c>
      <c r="F467" s="5" t="s">
        <v>638</v>
      </c>
      <c r="G467" s="11" t="s">
        <v>23</v>
      </c>
      <c r="H467" s="11" t="s">
        <v>24</v>
      </c>
      <c r="I467" s="11" t="s">
        <v>25</v>
      </c>
      <c r="J467" s="11" t="s">
        <v>26</v>
      </c>
      <c r="K467" s="52">
        <v>41164</v>
      </c>
      <c r="L467" s="50">
        <v>46032</v>
      </c>
      <c r="M467" s="5" t="s">
        <v>642</v>
      </c>
      <c r="N467" s="54">
        <v>44925.33</v>
      </c>
      <c r="O467" s="55">
        <f t="shared" si="9"/>
        <v>44925.33</v>
      </c>
      <c r="P467" s="11" t="s">
        <v>1170</v>
      </c>
      <c r="Q467" s="11" t="s">
        <v>37</v>
      </c>
      <c r="R467" s="11" t="s">
        <v>37</v>
      </c>
      <c r="S467" s="11" t="s">
        <v>37</v>
      </c>
      <c r="T467" s="11" t="s">
        <v>643</v>
      </c>
      <c r="U467" s="11" t="s">
        <v>37</v>
      </c>
    </row>
    <row r="468" spans="1:21" s="1" customFormat="1" ht="14.4" x14ac:dyDescent="0.3">
      <c r="A468" s="11" t="s">
        <v>646</v>
      </c>
      <c r="B468" s="11" t="s">
        <v>1225</v>
      </c>
      <c r="C468" s="11" t="s">
        <v>37</v>
      </c>
      <c r="D468" s="11" t="s">
        <v>1222</v>
      </c>
      <c r="E468" s="11">
        <v>1</v>
      </c>
      <c r="F468" s="5" t="s">
        <v>1287</v>
      </c>
      <c r="G468" s="11" t="s">
        <v>23</v>
      </c>
      <c r="H468" s="11" t="s">
        <v>24</v>
      </c>
      <c r="I468" s="11" t="s">
        <v>25</v>
      </c>
      <c r="J468" s="11" t="s">
        <v>26</v>
      </c>
      <c r="K468" s="52">
        <v>41844</v>
      </c>
      <c r="L468" s="50">
        <v>46084</v>
      </c>
      <c r="M468" s="11" t="s">
        <v>1224</v>
      </c>
      <c r="N468" s="11">
        <v>181000</v>
      </c>
      <c r="O468" s="55">
        <f t="shared" si="9"/>
        <v>181000</v>
      </c>
      <c r="P468" s="11" t="s">
        <v>73</v>
      </c>
      <c r="Q468" s="5" t="s">
        <v>37</v>
      </c>
      <c r="R468" s="34">
        <v>8044464585</v>
      </c>
      <c r="S468" s="5" t="s">
        <v>1223</v>
      </c>
      <c r="T468" s="11" t="s">
        <v>643</v>
      </c>
      <c r="U468" s="11" t="s">
        <v>37</v>
      </c>
    </row>
    <row r="469" spans="1:21" s="1" customFormat="1" ht="14.4" x14ac:dyDescent="0.3">
      <c r="A469" s="11" t="s">
        <v>639</v>
      </c>
      <c r="B469" s="11" t="s">
        <v>659</v>
      </c>
      <c r="C469" s="11" t="s">
        <v>37</v>
      </c>
      <c r="D469" s="11" t="s">
        <v>1222</v>
      </c>
      <c r="E469" s="12">
        <v>1</v>
      </c>
      <c r="F469" s="5" t="s">
        <v>37</v>
      </c>
      <c r="G469" s="11" t="s">
        <v>23</v>
      </c>
      <c r="H469" s="11" t="s">
        <v>24</v>
      </c>
      <c r="I469" s="11" t="s">
        <v>25</v>
      </c>
      <c r="J469" s="11" t="s">
        <v>26</v>
      </c>
      <c r="K469" s="52" t="s">
        <v>37</v>
      </c>
      <c r="L469" s="50">
        <v>46101</v>
      </c>
      <c r="M469" s="11" t="s">
        <v>37</v>
      </c>
      <c r="N469" s="11">
        <v>0</v>
      </c>
      <c r="O469" s="55">
        <f t="shared" si="9"/>
        <v>0</v>
      </c>
      <c r="P469" s="46"/>
      <c r="Q469" s="26" t="s">
        <v>37</v>
      </c>
      <c r="R469" s="26" t="s">
        <v>37</v>
      </c>
      <c r="S469" s="26" t="s">
        <v>37</v>
      </c>
      <c r="T469" s="26" t="s">
        <v>37</v>
      </c>
      <c r="U469" s="11" t="s">
        <v>37</v>
      </c>
    </row>
    <row r="470" spans="1:21" s="1" customFormat="1" ht="14.4" x14ac:dyDescent="0.3">
      <c r="A470" s="11" t="s">
        <v>637</v>
      </c>
      <c r="B470" s="11" t="s">
        <v>686</v>
      </c>
      <c r="C470" s="11" t="s">
        <v>37</v>
      </c>
      <c r="D470" s="11" t="s">
        <v>1222</v>
      </c>
      <c r="E470" s="11">
        <v>1</v>
      </c>
      <c r="F470" s="5" t="s">
        <v>1287</v>
      </c>
      <c r="G470" s="11" t="s">
        <v>23</v>
      </c>
      <c r="H470" s="11" t="s">
        <v>24</v>
      </c>
      <c r="I470" s="11" t="s">
        <v>25</v>
      </c>
      <c r="J470" s="11" t="s">
        <v>26</v>
      </c>
      <c r="K470" s="52">
        <v>41844</v>
      </c>
      <c r="L470" s="50">
        <v>46084</v>
      </c>
      <c r="M470" s="11" t="s">
        <v>1224</v>
      </c>
      <c r="N470" s="11">
        <v>266310</v>
      </c>
      <c r="O470" s="55">
        <f t="shared" si="9"/>
        <v>266310</v>
      </c>
      <c r="P470" s="11" t="s">
        <v>73</v>
      </c>
      <c r="Q470" s="5" t="s">
        <v>37</v>
      </c>
      <c r="R470" s="34">
        <v>8044464585</v>
      </c>
      <c r="S470" s="5" t="s">
        <v>1223</v>
      </c>
      <c r="T470" s="11" t="s">
        <v>643</v>
      </c>
      <c r="U470" s="11" t="s">
        <v>37</v>
      </c>
    </row>
    <row r="471" spans="1:21" s="1" customFormat="1" ht="26.4" x14ac:dyDescent="0.3">
      <c r="A471" s="11" t="s">
        <v>639</v>
      </c>
      <c r="B471" s="11" t="s">
        <v>665</v>
      </c>
      <c r="C471" s="11" t="s">
        <v>37</v>
      </c>
      <c r="D471" s="11" t="s">
        <v>1222</v>
      </c>
      <c r="E471" s="12">
        <v>1</v>
      </c>
      <c r="F471" s="5" t="s">
        <v>37</v>
      </c>
      <c r="G471" s="11" t="s">
        <v>23</v>
      </c>
      <c r="H471" s="11" t="s">
        <v>24</v>
      </c>
      <c r="I471" s="11" t="s">
        <v>25</v>
      </c>
      <c r="J471" s="11" t="s">
        <v>26</v>
      </c>
      <c r="K471" s="52" t="s">
        <v>37</v>
      </c>
      <c r="L471" s="50">
        <v>46101</v>
      </c>
      <c r="M471" s="11" t="s">
        <v>37</v>
      </c>
      <c r="N471" s="11">
        <v>0</v>
      </c>
      <c r="O471" s="55">
        <f t="shared" si="9"/>
        <v>0</v>
      </c>
      <c r="P471" s="46"/>
      <c r="Q471" s="26" t="s">
        <v>37</v>
      </c>
      <c r="R471" s="26" t="s">
        <v>37</v>
      </c>
      <c r="S471" s="26" t="s">
        <v>37</v>
      </c>
      <c r="T471" s="26" t="s">
        <v>37</v>
      </c>
      <c r="U471" s="11" t="s">
        <v>37</v>
      </c>
    </row>
    <row r="472" spans="1:21" s="1" customFormat="1" ht="14.4" x14ac:dyDescent="0.3">
      <c r="A472" s="11" t="s">
        <v>648</v>
      </c>
      <c r="B472" s="11" t="s">
        <v>681</v>
      </c>
      <c r="C472" s="11" t="s">
        <v>37</v>
      </c>
      <c r="D472" s="11" t="s">
        <v>1222</v>
      </c>
      <c r="E472" s="11">
        <v>1</v>
      </c>
      <c r="F472" s="5" t="s">
        <v>1287</v>
      </c>
      <c r="G472" s="11" t="s">
        <v>23</v>
      </c>
      <c r="H472" s="11" t="s">
        <v>24</v>
      </c>
      <c r="I472" s="11" t="s">
        <v>25</v>
      </c>
      <c r="J472" s="11" t="s">
        <v>26</v>
      </c>
      <c r="K472" s="52">
        <v>41844</v>
      </c>
      <c r="L472" s="50">
        <v>46084</v>
      </c>
      <c r="M472" s="11" t="s">
        <v>1224</v>
      </c>
      <c r="N472" s="11">
        <v>251976</v>
      </c>
      <c r="O472" s="55">
        <f t="shared" si="9"/>
        <v>251976</v>
      </c>
      <c r="P472" s="11" t="s">
        <v>73</v>
      </c>
      <c r="Q472" s="5" t="s">
        <v>37</v>
      </c>
      <c r="R472" s="34">
        <v>8044464585</v>
      </c>
      <c r="S472" s="5" t="s">
        <v>1223</v>
      </c>
      <c r="T472" s="11" t="s">
        <v>643</v>
      </c>
      <c r="U472" s="11" t="s">
        <v>37</v>
      </c>
    </row>
    <row r="473" spans="1:21" s="1" customFormat="1" ht="14.4" x14ac:dyDescent="0.3">
      <c r="A473" s="11" t="s">
        <v>639</v>
      </c>
      <c r="B473" s="11" t="s">
        <v>661</v>
      </c>
      <c r="C473" s="11" t="s">
        <v>37</v>
      </c>
      <c r="D473" s="11" t="s">
        <v>1222</v>
      </c>
      <c r="E473" s="12">
        <v>1</v>
      </c>
      <c r="F473" s="5" t="s">
        <v>37</v>
      </c>
      <c r="G473" s="11" t="s">
        <v>23</v>
      </c>
      <c r="H473" s="11" t="s">
        <v>24</v>
      </c>
      <c r="I473" s="11" t="s">
        <v>25</v>
      </c>
      <c r="J473" s="11" t="s">
        <v>26</v>
      </c>
      <c r="K473" s="52" t="s">
        <v>37</v>
      </c>
      <c r="L473" s="50">
        <v>46101</v>
      </c>
      <c r="M473" s="11" t="s">
        <v>37</v>
      </c>
      <c r="N473" s="11">
        <v>0</v>
      </c>
      <c r="O473" s="55">
        <f t="shared" si="9"/>
        <v>0</v>
      </c>
      <c r="P473" s="46"/>
      <c r="Q473" s="26" t="s">
        <v>37</v>
      </c>
      <c r="R473" s="26" t="s">
        <v>37</v>
      </c>
      <c r="S473" s="26" t="s">
        <v>37</v>
      </c>
      <c r="T473" s="26" t="s">
        <v>37</v>
      </c>
      <c r="U473" s="11" t="s">
        <v>37</v>
      </c>
    </row>
    <row r="474" spans="1:21" s="1" customFormat="1" ht="14.4" x14ac:dyDescent="0.3">
      <c r="A474" s="11" t="s">
        <v>650</v>
      </c>
      <c r="B474" s="11" t="s">
        <v>651</v>
      </c>
      <c r="C474" s="11" t="s">
        <v>37</v>
      </c>
      <c r="D474" s="11" t="s">
        <v>1222</v>
      </c>
      <c r="E474" s="11">
        <v>1</v>
      </c>
      <c r="F474" s="5" t="s">
        <v>1287</v>
      </c>
      <c r="G474" s="11" t="s">
        <v>23</v>
      </c>
      <c r="H474" s="11" t="s">
        <v>24</v>
      </c>
      <c r="I474" s="11" t="s">
        <v>25</v>
      </c>
      <c r="J474" s="11" t="s">
        <v>26</v>
      </c>
      <c r="K474" s="52">
        <v>41844</v>
      </c>
      <c r="L474" s="50">
        <v>46084</v>
      </c>
      <c r="M474" s="11" t="s">
        <v>1224</v>
      </c>
      <c r="N474" s="11">
        <v>181000</v>
      </c>
      <c r="O474" s="55">
        <f t="shared" si="9"/>
        <v>181000</v>
      </c>
      <c r="P474" s="11" t="s">
        <v>73</v>
      </c>
      <c r="Q474" s="5" t="s">
        <v>37</v>
      </c>
      <c r="R474" s="34">
        <v>8044464585</v>
      </c>
      <c r="S474" s="5" t="s">
        <v>1223</v>
      </c>
      <c r="T474" s="11" t="s">
        <v>643</v>
      </c>
      <c r="U474" s="11" t="s">
        <v>37</v>
      </c>
    </row>
    <row r="475" spans="1:21" s="1" customFormat="1" ht="14.4" x14ac:dyDescent="0.3">
      <c r="A475" s="11" t="s">
        <v>639</v>
      </c>
      <c r="B475" s="11" t="s">
        <v>640</v>
      </c>
      <c r="C475" s="11" t="s">
        <v>37</v>
      </c>
      <c r="D475" s="11" t="s">
        <v>1222</v>
      </c>
      <c r="E475" s="12">
        <v>1</v>
      </c>
      <c r="F475" s="5" t="s">
        <v>37</v>
      </c>
      <c r="G475" s="11" t="s">
        <v>23</v>
      </c>
      <c r="H475" s="11" t="s">
        <v>24</v>
      </c>
      <c r="I475" s="11" t="s">
        <v>25</v>
      </c>
      <c r="J475" s="11" t="s">
        <v>26</v>
      </c>
      <c r="K475" s="52" t="s">
        <v>37</v>
      </c>
      <c r="L475" s="50">
        <v>46101</v>
      </c>
      <c r="M475" s="11" t="s">
        <v>37</v>
      </c>
      <c r="N475" s="11">
        <v>0</v>
      </c>
      <c r="O475" s="55">
        <f t="shared" si="9"/>
        <v>0</v>
      </c>
      <c r="P475" s="46"/>
      <c r="Q475" s="26" t="s">
        <v>37</v>
      </c>
      <c r="R475" s="26" t="s">
        <v>37</v>
      </c>
      <c r="S475" s="26" t="s">
        <v>37</v>
      </c>
      <c r="T475" s="26" t="s">
        <v>37</v>
      </c>
      <c r="U475" s="11" t="s">
        <v>37</v>
      </c>
    </row>
    <row r="476" spans="1:21" s="1" customFormat="1" ht="14.4" x14ac:dyDescent="0.3">
      <c r="A476" s="11" t="s">
        <v>654</v>
      </c>
      <c r="B476" s="11" t="s">
        <v>666</v>
      </c>
      <c r="C476" s="11" t="s">
        <v>37</v>
      </c>
      <c r="D476" s="11" t="s">
        <v>1222</v>
      </c>
      <c r="E476" s="12">
        <v>1</v>
      </c>
      <c r="F476" s="5" t="s">
        <v>37</v>
      </c>
      <c r="G476" s="11" t="s">
        <v>23</v>
      </c>
      <c r="H476" s="11" t="s">
        <v>24</v>
      </c>
      <c r="I476" s="11" t="s">
        <v>25</v>
      </c>
      <c r="J476" s="11" t="s">
        <v>26</v>
      </c>
      <c r="K476" s="52" t="s">
        <v>37</v>
      </c>
      <c r="L476" s="50">
        <v>46101</v>
      </c>
      <c r="M476" s="11" t="s">
        <v>37</v>
      </c>
      <c r="N476" s="11">
        <v>0</v>
      </c>
      <c r="O476" s="55">
        <f t="shared" si="9"/>
        <v>0</v>
      </c>
      <c r="P476" s="25"/>
      <c r="Q476" s="26" t="s">
        <v>37</v>
      </c>
      <c r="R476" s="26" t="s">
        <v>37</v>
      </c>
      <c r="S476" s="26" t="s">
        <v>37</v>
      </c>
      <c r="T476" s="26" t="s">
        <v>37</v>
      </c>
      <c r="U476" s="11" t="s">
        <v>37</v>
      </c>
    </row>
    <row r="477" spans="1:21" s="1" customFormat="1" ht="14.4" x14ac:dyDescent="0.3">
      <c r="A477" s="33" t="s">
        <v>667</v>
      </c>
      <c r="B477" s="11" t="s">
        <v>668</v>
      </c>
      <c r="C477" s="11" t="s">
        <v>37</v>
      </c>
      <c r="D477" s="11" t="s">
        <v>1222</v>
      </c>
      <c r="E477" s="11">
        <v>1</v>
      </c>
      <c r="F477" s="5" t="s">
        <v>638</v>
      </c>
      <c r="G477" s="11" t="s">
        <v>23</v>
      </c>
      <c r="H477" s="11" t="s">
        <v>24</v>
      </c>
      <c r="I477" s="11" t="s">
        <v>25</v>
      </c>
      <c r="J477" s="11" t="s">
        <v>26</v>
      </c>
      <c r="K477" s="52">
        <v>41164</v>
      </c>
      <c r="L477" s="50">
        <v>46032</v>
      </c>
      <c r="M477" s="5" t="s">
        <v>642</v>
      </c>
      <c r="N477" s="54">
        <v>44925.33</v>
      </c>
      <c r="O477" s="55">
        <f t="shared" si="9"/>
        <v>44925.33</v>
      </c>
      <c r="P477" s="11" t="s">
        <v>1170</v>
      </c>
      <c r="Q477" s="11" t="s">
        <v>37</v>
      </c>
      <c r="R477" s="11" t="s">
        <v>37</v>
      </c>
      <c r="S477" s="11" t="s">
        <v>37</v>
      </c>
      <c r="T477" s="11" t="s">
        <v>643</v>
      </c>
      <c r="U477" s="11" t="s">
        <v>37</v>
      </c>
    </row>
    <row r="478" spans="1:21" s="1" customFormat="1" ht="14.4" x14ac:dyDescent="0.3">
      <c r="A478" s="11" t="s">
        <v>646</v>
      </c>
      <c r="B478" s="11" t="s">
        <v>1225</v>
      </c>
      <c r="C478" s="11" t="s">
        <v>37</v>
      </c>
      <c r="D478" s="11" t="s">
        <v>1222</v>
      </c>
      <c r="E478" s="11">
        <v>1</v>
      </c>
      <c r="F478" s="5" t="s">
        <v>1287</v>
      </c>
      <c r="G478" s="11" t="s">
        <v>23</v>
      </c>
      <c r="H478" s="11" t="s">
        <v>24</v>
      </c>
      <c r="I478" s="11" t="s">
        <v>25</v>
      </c>
      <c r="J478" s="11" t="s">
        <v>26</v>
      </c>
      <c r="K478" s="52">
        <v>41844</v>
      </c>
      <c r="L478" s="50">
        <v>46084</v>
      </c>
      <c r="M478" s="11" t="s">
        <v>1224</v>
      </c>
      <c r="N478" s="11">
        <v>181000</v>
      </c>
      <c r="O478" s="55">
        <f t="shared" si="9"/>
        <v>181000</v>
      </c>
      <c r="P478" s="11" t="s">
        <v>73</v>
      </c>
      <c r="Q478" s="5" t="s">
        <v>37</v>
      </c>
      <c r="R478" s="34">
        <v>8044464585</v>
      </c>
      <c r="S478" s="5" t="s">
        <v>1223</v>
      </c>
      <c r="T478" s="11" t="s">
        <v>643</v>
      </c>
      <c r="U478" s="11" t="s">
        <v>37</v>
      </c>
    </row>
    <row r="479" spans="1:21" s="1" customFormat="1" ht="14.4" x14ac:dyDescent="0.3">
      <c r="A479" s="11" t="s">
        <v>639</v>
      </c>
      <c r="B479" s="11" t="s">
        <v>659</v>
      </c>
      <c r="C479" s="11" t="s">
        <v>37</v>
      </c>
      <c r="D479" s="11" t="s">
        <v>1222</v>
      </c>
      <c r="E479" s="12">
        <v>1</v>
      </c>
      <c r="F479" s="5" t="s">
        <v>37</v>
      </c>
      <c r="G479" s="11" t="s">
        <v>23</v>
      </c>
      <c r="H479" s="11" t="s">
        <v>24</v>
      </c>
      <c r="I479" s="11" t="s">
        <v>25</v>
      </c>
      <c r="J479" s="11" t="s">
        <v>26</v>
      </c>
      <c r="K479" s="52" t="s">
        <v>37</v>
      </c>
      <c r="L479" s="50">
        <v>46101</v>
      </c>
      <c r="M479" s="11" t="s">
        <v>37</v>
      </c>
      <c r="N479" s="11">
        <v>0</v>
      </c>
      <c r="O479" s="55">
        <f t="shared" si="9"/>
        <v>0</v>
      </c>
      <c r="P479" s="46"/>
      <c r="Q479" s="26" t="s">
        <v>37</v>
      </c>
      <c r="R479" s="26" t="s">
        <v>37</v>
      </c>
      <c r="S479" s="26" t="s">
        <v>37</v>
      </c>
      <c r="T479" s="26" t="s">
        <v>37</v>
      </c>
      <c r="U479" s="11" t="s">
        <v>37</v>
      </c>
    </row>
    <row r="480" spans="1:21" s="1" customFormat="1" ht="14.4" x14ac:dyDescent="0.3">
      <c r="A480" s="11" t="s">
        <v>637</v>
      </c>
      <c r="B480" s="11" t="s">
        <v>686</v>
      </c>
      <c r="C480" s="11" t="s">
        <v>37</v>
      </c>
      <c r="D480" s="11" t="s">
        <v>1222</v>
      </c>
      <c r="E480" s="11">
        <v>1</v>
      </c>
      <c r="F480" s="5" t="s">
        <v>1287</v>
      </c>
      <c r="G480" s="11" t="s">
        <v>23</v>
      </c>
      <c r="H480" s="11" t="s">
        <v>24</v>
      </c>
      <c r="I480" s="11" t="s">
        <v>25</v>
      </c>
      <c r="J480" s="11" t="s">
        <v>26</v>
      </c>
      <c r="K480" s="52">
        <v>41844</v>
      </c>
      <c r="L480" s="50">
        <v>46084</v>
      </c>
      <c r="M480" s="11" t="s">
        <v>1224</v>
      </c>
      <c r="N480" s="11">
        <v>266310</v>
      </c>
      <c r="O480" s="55">
        <f t="shared" si="9"/>
        <v>266310</v>
      </c>
      <c r="P480" s="11" t="s">
        <v>73</v>
      </c>
      <c r="Q480" s="5" t="s">
        <v>37</v>
      </c>
      <c r="R480" s="34">
        <v>8044464585</v>
      </c>
      <c r="S480" s="5" t="s">
        <v>1223</v>
      </c>
      <c r="T480" s="11" t="s">
        <v>643</v>
      </c>
      <c r="U480" s="11" t="s">
        <v>37</v>
      </c>
    </row>
    <row r="481" spans="1:21" s="1" customFormat="1" ht="26.4" x14ac:dyDescent="0.3">
      <c r="A481" s="11" t="s">
        <v>639</v>
      </c>
      <c r="B481" s="11" t="s">
        <v>669</v>
      </c>
      <c r="C481" s="11" t="s">
        <v>37</v>
      </c>
      <c r="D481" s="11" t="s">
        <v>1222</v>
      </c>
      <c r="E481" s="12">
        <v>1</v>
      </c>
      <c r="F481" s="5" t="s">
        <v>37</v>
      </c>
      <c r="G481" s="11" t="s">
        <v>23</v>
      </c>
      <c r="H481" s="11" t="s">
        <v>24</v>
      </c>
      <c r="I481" s="11" t="s">
        <v>25</v>
      </c>
      <c r="J481" s="11" t="s">
        <v>26</v>
      </c>
      <c r="K481" s="52" t="s">
        <v>37</v>
      </c>
      <c r="L481" s="50">
        <v>46101</v>
      </c>
      <c r="M481" s="11" t="s">
        <v>37</v>
      </c>
      <c r="N481" s="11">
        <v>0</v>
      </c>
      <c r="O481" s="55">
        <f t="shared" si="9"/>
        <v>0</v>
      </c>
      <c r="P481" s="46"/>
      <c r="Q481" s="26" t="s">
        <v>37</v>
      </c>
      <c r="R481" s="26" t="s">
        <v>37</v>
      </c>
      <c r="S481" s="26" t="s">
        <v>37</v>
      </c>
      <c r="T481" s="26" t="s">
        <v>37</v>
      </c>
      <c r="U481" s="11" t="s">
        <v>37</v>
      </c>
    </row>
    <row r="482" spans="1:21" s="1" customFormat="1" ht="14.4" x14ac:dyDescent="0.3">
      <c r="A482" s="11" t="s">
        <v>648</v>
      </c>
      <c r="B482" s="11" t="s">
        <v>681</v>
      </c>
      <c r="C482" s="11" t="s">
        <v>37</v>
      </c>
      <c r="D482" s="11" t="s">
        <v>1222</v>
      </c>
      <c r="E482" s="11">
        <v>1</v>
      </c>
      <c r="F482" s="5" t="s">
        <v>1287</v>
      </c>
      <c r="G482" s="11" t="s">
        <v>23</v>
      </c>
      <c r="H482" s="11" t="s">
        <v>24</v>
      </c>
      <c r="I482" s="11" t="s">
        <v>25</v>
      </c>
      <c r="J482" s="11" t="s">
        <v>26</v>
      </c>
      <c r="K482" s="52">
        <v>41844</v>
      </c>
      <c r="L482" s="50">
        <v>46084</v>
      </c>
      <c r="M482" s="11" t="s">
        <v>1224</v>
      </c>
      <c r="N482" s="11">
        <v>251976</v>
      </c>
      <c r="O482" s="55">
        <f t="shared" si="9"/>
        <v>251976</v>
      </c>
      <c r="P482" s="11" t="s">
        <v>73</v>
      </c>
      <c r="Q482" s="5" t="s">
        <v>37</v>
      </c>
      <c r="R482" s="34">
        <v>8044464585</v>
      </c>
      <c r="S482" s="5" t="s">
        <v>1223</v>
      </c>
      <c r="T482" s="11" t="s">
        <v>643</v>
      </c>
      <c r="U482" s="11" t="s">
        <v>37</v>
      </c>
    </row>
    <row r="483" spans="1:21" s="1" customFormat="1" ht="26.4" x14ac:dyDescent="0.3">
      <c r="A483" s="11" t="s">
        <v>639</v>
      </c>
      <c r="B483" s="11" t="s">
        <v>670</v>
      </c>
      <c r="C483" s="11" t="s">
        <v>37</v>
      </c>
      <c r="D483" s="11" t="s">
        <v>1222</v>
      </c>
      <c r="E483" s="12">
        <v>1</v>
      </c>
      <c r="F483" s="5" t="s">
        <v>37</v>
      </c>
      <c r="G483" s="11" t="s">
        <v>23</v>
      </c>
      <c r="H483" s="11" t="s">
        <v>24</v>
      </c>
      <c r="I483" s="11" t="s">
        <v>25</v>
      </c>
      <c r="J483" s="11" t="s">
        <v>26</v>
      </c>
      <c r="K483" s="52" t="s">
        <v>37</v>
      </c>
      <c r="L483" s="50">
        <v>46101</v>
      </c>
      <c r="M483" s="11" t="s">
        <v>37</v>
      </c>
      <c r="N483" s="11">
        <v>0</v>
      </c>
      <c r="O483" s="55">
        <f t="shared" si="9"/>
        <v>0</v>
      </c>
      <c r="P483" s="46"/>
      <c r="Q483" s="26" t="s">
        <v>37</v>
      </c>
      <c r="R483" s="26" t="s">
        <v>37</v>
      </c>
      <c r="S483" s="26" t="s">
        <v>37</v>
      </c>
      <c r="T483" s="26" t="s">
        <v>37</v>
      </c>
      <c r="U483" s="11" t="s">
        <v>37</v>
      </c>
    </row>
    <row r="484" spans="1:21" s="1" customFormat="1" ht="14.4" x14ac:dyDescent="0.3">
      <c r="A484" s="11" t="s">
        <v>650</v>
      </c>
      <c r="B484" s="11" t="s">
        <v>651</v>
      </c>
      <c r="C484" s="11" t="s">
        <v>37</v>
      </c>
      <c r="D484" s="11" t="s">
        <v>1222</v>
      </c>
      <c r="E484" s="11">
        <v>1</v>
      </c>
      <c r="F484" s="5" t="s">
        <v>1287</v>
      </c>
      <c r="G484" s="11" t="s">
        <v>23</v>
      </c>
      <c r="H484" s="11" t="s">
        <v>24</v>
      </c>
      <c r="I484" s="11" t="s">
        <v>25</v>
      </c>
      <c r="J484" s="11" t="s">
        <v>26</v>
      </c>
      <c r="K484" s="52">
        <v>41844</v>
      </c>
      <c r="L484" s="50">
        <v>46084</v>
      </c>
      <c r="M484" s="11" t="s">
        <v>1224</v>
      </c>
      <c r="N484" s="11">
        <v>181000</v>
      </c>
      <c r="O484" s="55">
        <f t="shared" si="9"/>
        <v>181000</v>
      </c>
      <c r="P484" s="11" t="s">
        <v>73</v>
      </c>
      <c r="Q484" s="5" t="s">
        <v>37</v>
      </c>
      <c r="R484" s="34">
        <v>8044464585</v>
      </c>
      <c r="S484" s="5" t="s">
        <v>1223</v>
      </c>
      <c r="T484" s="11" t="s">
        <v>643</v>
      </c>
      <c r="U484" s="11" t="s">
        <v>37</v>
      </c>
    </row>
    <row r="485" spans="1:21" s="1" customFormat="1" ht="14.4" x14ac:dyDescent="0.3">
      <c r="A485" s="11" t="s">
        <v>639</v>
      </c>
      <c r="B485" s="11" t="s">
        <v>671</v>
      </c>
      <c r="C485" s="11" t="s">
        <v>37</v>
      </c>
      <c r="D485" s="11" t="s">
        <v>1222</v>
      </c>
      <c r="E485" s="12">
        <v>1</v>
      </c>
      <c r="F485" s="5" t="s">
        <v>37</v>
      </c>
      <c r="G485" s="11" t="s">
        <v>23</v>
      </c>
      <c r="H485" s="11" t="s">
        <v>24</v>
      </c>
      <c r="I485" s="11" t="s">
        <v>25</v>
      </c>
      <c r="J485" s="11" t="s">
        <v>26</v>
      </c>
      <c r="K485" s="52" t="s">
        <v>37</v>
      </c>
      <c r="L485" s="50">
        <v>46101</v>
      </c>
      <c r="M485" s="11" t="s">
        <v>37</v>
      </c>
      <c r="N485" s="11">
        <v>0</v>
      </c>
      <c r="O485" s="55">
        <f t="shared" si="9"/>
        <v>0</v>
      </c>
      <c r="P485" s="46"/>
      <c r="Q485" s="26" t="s">
        <v>37</v>
      </c>
      <c r="R485" s="26" t="s">
        <v>37</v>
      </c>
      <c r="S485" s="26" t="s">
        <v>37</v>
      </c>
      <c r="T485" s="26" t="s">
        <v>37</v>
      </c>
      <c r="U485" s="11" t="s">
        <v>37</v>
      </c>
    </row>
    <row r="486" spans="1:21" s="1" customFormat="1" ht="14.4" x14ac:dyDescent="0.3">
      <c r="A486" s="11" t="s">
        <v>654</v>
      </c>
      <c r="B486" s="11" t="s">
        <v>672</v>
      </c>
      <c r="C486" s="11" t="s">
        <v>656</v>
      </c>
      <c r="D486" s="11" t="s">
        <v>1222</v>
      </c>
      <c r="E486" s="12">
        <v>1</v>
      </c>
      <c r="F486" s="5" t="s">
        <v>37</v>
      </c>
      <c r="G486" s="11" t="s">
        <v>23</v>
      </c>
      <c r="H486" s="11" t="s">
        <v>24</v>
      </c>
      <c r="I486" s="11" t="s">
        <v>25</v>
      </c>
      <c r="J486" s="11" t="s">
        <v>26</v>
      </c>
      <c r="K486" s="52" t="s">
        <v>37</v>
      </c>
      <c r="L486" s="50">
        <v>46101</v>
      </c>
      <c r="M486" s="11" t="s">
        <v>37</v>
      </c>
      <c r="N486" s="11">
        <v>0</v>
      </c>
      <c r="O486" s="55">
        <f t="shared" si="9"/>
        <v>0</v>
      </c>
      <c r="P486" s="25"/>
      <c r="Q486" s="26" t="s">
        <v>37</v>
      </c>
      <c r="R486" s="26" t="s">
        <v>37</v>
      </c>
      <c r="S486" s="26" t="s">
        <v>37</v>
      </c>
      <c r="T486" s="26" t="s">
        <v>37</v>
      </c>
      <c r="U486" s="11" t="s">
        <v>37</v>
      </c>
    </row>
    <row r="487" spans="1:21" s="1" customFormat="1" ht="26.4" x14ac:dyDescent="0.3">
      <c r="A487" s="11" t="s">
        <v>1357</v>
      </c>
      <c r="B487" s="11" t="s">
        <v>1343</v>
      </c>
      <c r="C487" s="11" t="s">
        <v>1344</v>
      </c>
      <c r="D487" s="11" t="s">
        <v>1222</v>
      </c>
      <c r="E487" s="12">
        <v>54</v>
      </c>
      <c r="F487" s="5" t="s">
        <v>1345</v>
      </c>
      <c r="G487" s="11" t="s">
        <v>23</v>
      </c>
      <c r="H487" s="11" t="s">
        <v>24</v>
      </c>
      <c r="I487" s="11" t="s">
        <v>653</v>
      </c>
      <c r="J487" s="11" t="s">
        <v>26</v>
      </c>
      <c r="K487" s="52">
        <v>45259</v>
      </c>
      <c r="L487" s="50">
        <v>46101</v>
      </c>
      <c r="M487" s="11" t="s">
        <v>1358</v>
      </c>
      <c r="N487" s="11">
        <v>94400</v>
      </c>
      <c r="O487" s="55">
        <f t="shared" si="9"/>
        <v>5097600</v>
      </c>
      <c r="P487" s="11"/>
      <c r="Q487" s="43" t="s">
        <v>1350</v>
      </c>
      <c r="R487" s="5">
        <v>9422033384</v>
      </c>
      <c r="S487" s="5" t="s">
        <v>1351</v>
      </c>
      <c r="T487" s="11" t="s">
        <v>941</v>
      </c>
      <c r="U487" s="11" t="s">
        <v>37</v>
      </c>
    </row>
    <row r="488" spans="1:21" s="1" customFormat="1" ht="14.4" x14ac:dyDescent="0.3">
      <c r="A488" s="33" t="s">
        <v>673</v>
      </c>
      <c r="B488" s="11" t="s">
        <v>674</v>
      </c>
      <c r="C488" s="11" t="s">
        <v>37</v>
      </c>
      <c r="D488" s="11" t="s">
        <v>1222</v>
      </c>
      <c r="E488" s="11">
        <v>1</v>
      </c>
      <c r="F488" s="5" t="s">
        <v>638</v>
      </c>
      <c r="G488" s="11" t="s">
        <v>23</v>
      </c>
      <c r="H488" s="11" t="s">
        <v>24</v>
      </c>
      <c r="I488" s="11" t="s">
        <v>25</v>
      </c>
      <c r="J488" s="11" t="s">
        <v>26</v>
      </c>
      <c r="K488" s="52">
        <v>41164</v>
      </c>
      <c r="L488" s="50">
        <v>46032</v>
      </c>
      <c r="M488" s="5" t="s">
        <v>642</v>
      </c>
      <c r="N488" s="54">
        <v>44925.33</v>
      </c>
      <c r="O488" s="55">
        <f t="shared" si="9"/>
        <v>44925.33</v>
      </c>
      <c r="P488" s="11" t="s">
        <v>1170</v>
      </c>
      <c r="Q488" s="11" t="s">
        <v>37</v>
      </c>
      <c r="R488" s="11" t="s">
        <v>37</v>
      </c>
      <c r="S488" s="11" t="s">
        <v>37</v>
      </c>
      <c r="T488" s="11" t="s">
        <v>643</v>
      </c>
      <c r="U488" s="11" t="s">
        <v>37</v>
      </c>
    </row>
    <row r="489" spans="1:21" s="1" customFormat="1" ht="14.4" x14ac:dyDescent="0.3">
      <c r="A489" s="11" t="s">
        <v>646</v>
      </c>
      <c r="B489" s="11" t="s">
        <v>1225</v>
      </c>
      <c r="C489" s="11" t="s">
        <v>37</v>
      </c>
      <c r="D489" s="11" t="s">
        <v>1222</v>
      </c>
      <c r="E489" s="11">
        <v>1</v>
      </c>
      <c r="F489" s="5" t="s">
        <v>1287</v>
      </c>
      <c r="G489" s="11" t="s">
        <v>23</v>
      </c>
      <c r="H489" s="11" t="s">
        <v>24</v>
      </c>
      <c r="I489" s="11" t="s">
        <v>25</v>
      </c>
      <c r="J489" s="11" t="s">
        <v>26</v>
      </c>
      <c r="K489" s="52">
        <v>41844</v>
      </c>
      <c r="L489" s="50">
        <v>46084</v>
      </c>
      <c r="M489" s="11" t="s">
        <v>1224</v>
      </c>
      <c r="N489" s="11">
        <v>181000</v>
      </c>
      <c r="O489" s="55">
        <f t="shared" si="9"/>
        <v>181000</v>
      </c>
      <c r="P489" s="11" t="s">
        <v>73</v>
      </c>
      <c r="Q489" s="5" t="s">
        <v>37</v>
      </c>
      <c r="R489" s="34">
        <v>8044464585</v>
      </c>
      <c r="S489" s="5" t="s">
        <v>1223</v>
      </c>
      <c r="T489" s="11" t="s">
        <v>643</v>
      </c>
      <c r="U489" s="11" t="s">
        <v>37</v>
      </c>
    </row>
    <row r="490" spans="1:21" s="1" customFormat="1" ht="14.4" x14ac:dyDescent="0.3">
      <c r="A490" s="11" t="s">
        <v>639</v>
      </c>
      <c r="B490" s="11" t="s">
        <v>659</v>
      </c>
      <c r="C490" s="11" t="s">
        <v>37</v>
      </c>
      <c r="D490" s="11" t="s">
        <v>1222</v>
      </c>
      <c r="E490" s="12">
        <v>1</v>
      </c>
      <c r="F490" s="5" t="s">
        <v>37</v>
      </c>
      <c r="G490" s="11" t="s">
        <v>23</v>
      </c>
      <c r="H490" s="11" t="s">
        <v>24</v>
      </c>
      <c r="I490" s="11" t="s">
        <v>25</v>
      </c>
      <c r="J490" s="11" t="s">
        <v>26</v>
      </c>
      <c r="K490" s="52" t="s">
        <v>37</v>
      </c>
      <c r="L490" s="50">
        <v>46101</v>
      </c>
      <c r="M490" s="11" t="s">
        <v>37</v>
      </c>
      <c r="N490" s="11">
        <v>0</v>
      </c>
      <c r="O490" s="55">
        <f t="shared" si="9"/>
        <v>0</v>
      </c>
      <c r="P490" s="46"/>
      <c r="Q490" s="26" t="s">
        <v>37</v>
      </c>
      <c r="R490" s="26" t="s">
        <v>37</v>
      </c>
      <c r="S490" s="26" t="s">
        <v>37</v>
      </c>
      <c r="T490" s="26" t="s">
        <v>37</v>
      </c>
      <c r="U490" s="11" t="s">
        <v>37</v>
      </c>
    </row>
    <row r="491" spans="1:21" s="1" customFormat="1" ht="14.4" x14ac:dyDescent="0.3">
      <c r="A491" s="11" t="s">
        <v>637</v>
      </c>
      <c r="B491" s="11" t="s">
        <v>686</v>
      </c>
      <c r="C491" s="11" t="s">
        <v>37</v>
      </c>
      <c r="D491" s="11" t="s">
        <v>1222</v>
      </c>
      <c r="E491" s="11">
        <v>1</v>
      </c>
      <c r="F491" s="5" t="s">
        <v>1287</v>
      </c>
      <c r="G491" s="11" t="s">
        <v>23</v>
      </c>
      <c r="H491" s="11" t="s">
        <v>24</v>
      </c>
      <c r="I491" s="11" t="s">
        <v>25</v>
      </c>
      <c r="J491" s="11" t="s">
        <v>26</v>
      </c>
      <c r="K491" s="52">
        <v>41844</v>
      </c>
      <c r="L491" s="50">
        <v>46084</v>
      </c>
      <c r="M491" s="11" t="s">
        <v>1224</v>
      </c>
      <c r="N491" s="11">
        <v>266310</v>
      </c>
      <c r="O491" s="55">
        <f t="shared" si="9"/>
        <v>266310</v>
      </c>
      <c r="P491" s="11" t="s">
        <v>73</v>
      </c>
      <c r="Q491" s="5" t="s">
        <v>37</v>
      </c>
      <c r="R491" s="34">
        <v>8044464585</v>
      </c>
      <c r="S491" s="5" t="s">
        <v>1223</v>
      </c>
      <c r="T491" s="11" t="s">
        <v>643</v>
      </c>
      <c r="U491" s="11" t="s">
        <v>37</v>
      </c>
    </row>
    <row r="492" spans="1:21" s="1" customFormat="1" ht="26.4" x14ac:dyDescent="0.3">
      <c r="A492" s="11" t="s">
        <v>639</v>
      </c>
      <c r="B492" s="11" t="s">
        <v>675</v>
      </c>
      <c r="C492" s="11" t="s">
        <v>37</v>
      </c>
      <c r="D492" s="11" t="s">
        <v>1222</v>
      </c>
      <c r="E492" s="12">
        <v>1</v>
      </c>
      <c r="F492" s="5" t="s">
        <v>37</v>
      </c>
      <c r="G492" s="11" t="s">
        <v>23</v>
      </c>
      <c r="H492" s="11" t="s">
        <v>24</v>
      </c>
      <c r="I492" s="11" t="s">
        <v>25</v>
      </c>
      <c r="J492" s="11" t="s">
        <v>26</v>
      </c>
      <c r="K492" s="52" t="s">
        <v>37</v>
      </c>
      <c r="L492" s="50">
        <v>46101</v>
      </c>
      <c r="M492" s="11" t="s">
        <v>37</v>
      </c>
      <c r="N492" s="11">
        <v>0</v>
      </c>
      <c r="O492" s="55">
        <f t="shared" si="9"/>
        <v>0</v>
      </c>
      <c r="P492" s="46"/>
      <c r="Q492" s="26" t="s">
        <v>37</v>
      </c>
      <c r="R492" s="26" t="s">
        <v>37</v>
      </c>
      <c r="S492" s="26" t="s">
        <v>37</v>
      </c>
      <c r="T492" s="26" t="s">
        <v>37</v>
      </c>
      <c r="U492" s="11" t="s">
        <v>37</v>
      </c>
    </row>
    <row r="493" spans="1:21" s="1" customFormat="1" ht="14.4" x14ac:dyDescent="0.3">
      <c r="A493" s="11" t="s">
        <v>648</v>
      </c>
      <c r="B493" s="11" t="s">
        <v>681</v>
      </c>
      <c r="C493" s="11" t="s">
        <v>37</v>
      </c>
      <c r="D493" s="11" t="s">
        <v>1222</v>
      </c>
      <c r="E493" s="11">
        <v>1</v>
      </c>
      <c r="F493" s="5" t="s">
        <v>1287</v>
      </c>
      <c r="G493" s="11" t="s">
        <v>23</v>
      </c>
      <c r="H493" s="11" t="s">
        <v>24</v>
      </c>
      <c r="I493" s="11" t="s">
        <v>25</v>
      </c>
      <c r="J493" s="11" t="s">
        <v>26</v>
      </c>
      <c r="K493" s="52">
        <v>41844</v>
      </c>
      <c r="L493" s="50">
        <v>46084</v>
      </c>
      <c r="M493" s="11" t="s">
        <v>1224</v>
      </c>
      <c r="N493" s="11">
        <v>251976</v>
      </c>
      <c r="O493" s="55">
        <f t="shared" si="9"/>
        <v>251976</v>
      </c>
      <c r="P493" s="11" t="s">
        <v>73</v>
      </c>
      <c r="Q493" s="5" t="s">
        <v>37</v>
      </c>
      <c r="R493" s="34">
        <v>8044464585</v>
      </c>
      <c r="S493" s="5" t="s">
        <v>1223</v>
      </c>
      <c r="T493" s="11" t="s">
        <v>643</v>
      </c>
      <c r="U493" s="11" t="s">
        <v>37</v>
      </c>
    </row>
    <row r="494" spans="1:21" s="1" customFormat="1" ht="14.4" x14ac:dyDescent="0.3">
      <c r="A494" s="11" t="s">
        <v>639</v>
      </c>
      <c r="B494" s="11" t="s">
        <v>661</v>
      </c>
      <c r="C494" s="11" t="s">
        <v>37</v>
      </c>
      <c r="D494" s="11" t="s">
        <v>1222</v>
      </c>
      <c r="E494" s="12">
        <v>1</v>
      </c>
      <c r="F494" s="5" t="s">
        <v>37</v>
      </c>
      <c r="G494" s="11" t="s">
        <v>23</v>
      </c>
      <c r="H494" s="11" t="s">
        <v>24</v>
      </c>
      <c r="I494" s="11" t="s">
        <v>25</v>
      </c>
      <c r="J494" s="11" t="s">
        <v>26</v>
      </c>
      <c r="K494" s="52" t="s">
        <v>37</v>
      </c>
      <c r="L494" s="50">
        <v>46101</v>
      </c>
      <c r="M494" s="11" t="s">
        <v>37</v>
      </c>
      <c r="N494" s="11">
        <v>0</v>
      </c>
      <c r="O494" s="55">
        <f t="shared" si="9"/>
        <v>0</v>
      </c>
      <c r="P494" s="46"/>
      <c r="Q494" s="26" t="s">
        <v>37</v>
      </c>
      <c r="R494" s="26" t="s">
        <v>37</v>
      </c>
      <c r="S494" s="26" t="s">
        <v>37</v>
      </c>
      <c r="T494" s="26" t="s">
        <v>37</v>
      </c>
      <c r="U494" s="11" t="s">
        <v>37</v>
      </c>
    </row>
    <row r="495" spans="1:21" s="1" customFormat="1" ht="14.4" x14ac:dyDescent="0.3">
      <c r="A495" s="11" t="s">
        <v>650</v>
      </c>
      <c r="B495" s="11" t="s">
        <v>676</v>
      </c>
      <c r="C495" s="11" t="s">
        <v>37</v>
      </c>
      <c r="D495" s="11" t="s">
        <v>1222</v>
      </c>
      <c r="E495" s="11">
        <v>1</v>
      </c>
      <c r="F495" s="5" t="s">
        <v>1287</v>
      </c>
      <c r="G495" s="11" t="s">
        <v>23</v>
      </c>
      <c r="H495" s="11" t="s">
        <v>24</v>
      </c>
      <c r="I495" s="11" t="s">
        <v>25</v>
      </c>
      <c r="J495" s="11" t="s">
        <v>26</v>
      </c>
      <c r="K495" s="52">
        <v>41844</v>
      </c>
      <c r="L495" s="50">
        <v>46084</v>
      </c>
      <c r="M495" s="11" t="s">
        <v>1224</v>
      </c>
      <c r="N495" s="11">
        <v>181000</v>
      </c>
      <c r="O495" s="55">
        <f t="shared" si="9"/>
        <v>181000</v>
      </c>
      <c r="P495" s="11" t="s">
        <v>1170</v>
      </c>
      <c r="Q495" s="5" t="s">
        <v>37</v>
      </c>
      <c r="R495" s="34">
        <v>8044464585</v>
      </c>
      <c r="S495" s="5" t="s">
        <v>1223</v>
      </c>
      <c r="T495" s="11" t="s">
        <v>643</v>
      </c>
      <c r="U495" s="11" t="s">
        <v>37</v>
      </c>
    </row>
    <row r="496" spans="1:21" s="1" customFormat="1" ht="14.4" x14ac:dyDescent="0.3">
      <c r="A496" s="11" t="s">
        <v>639</v>
      </c>
      <c r="B496" s="11" t="s">
        <v>677</v>
      </c>
      <c r="C496" s="11" t="s">
        <v>37</v>
      </c>
      <c r="D496" s="11" t="s">
        <v>1222</v>
      </c>
      <c r="E496" s="12">
        <v>1</v>
      </c>
      <c r="F496" s="5" t="s">
        <v>37</v>
      </c>
      <c r="G496" s="11" t="s">
        <v>23</v>
      </c>
      <c r="H496" s="11" t="s">
        <v>24</v>
      </c>
      <c r="I496" s="11" t="s">
        <v>25</v>
      </c>
      <c r="J496" s="11" t="s">
        <v>26</v>
      </c>
      <c r="K496" s="52" t="s">
        <v>37</v>
      </c>
      <c r="L496" s="50">
        <v>46101</v>
      </c>
      <c r="M496" s="11" t="s">
        <v>37</v>
      </c>
      <c r="N496" s="11">
        <v>0</v>
      </c>
      <c r="O496" s="55">
        <f t="shared" si="9"/>
        <v>0</v>
      </c>
      <c r="P496" s="46"/>
      <c r="Q496" s="26" t="s">
        <v>37</v>
      </c>
      <c r="R496" s="26" t="s">
        <v>37</v>
      </c>
      <c r="S496" s="26" t="s">
        <v>37</v>
      </c>
      <c r="T496" s="26" t="s">
        <v>37</v>
      </c>
      <c r="U496" s="11" t="s">
        <v>37</v>
      </c>
    </row>
    <row r="497" spans="1:21" s="1" customFormat="1" ht="26.4" x14ac:dyDescent="0.3">
      <c r="A497" s="11" t="s">
        <v>1365</v>
      </c>
      <c r="B497" s="11" t="s">
        <v>1343</v>
      </c>
      <c r="C497" s="11" t="s">
        <v>1344</v>
      </c>
      <c r="D497" s="11" t="s">
        <v>1222</v>
      </c>
      <c r="E497" s="12">
        <v>54</v>
      </c>
      <c r="F497" s="5" t="s">
        <v>1345</v>
      </c>
      <c r="G497" s="11" t="s">
        <v>23</v>
      </c>
      <c r="H497" s="11" t="s">
        <v>24</v>
      </c>
      <c r="I497" s="11" t="s">
        <v>653</v>
      </c>
      <c r="J497" s="11" t="s">
        <v>26</v>
      </c>
      <c r="K497" s="52">
        <v>44995</v>
      </c>
      <c r="L497" s="50">
        <v>46101</v>
      </c>
      <c r="M497" s="11" t="s">
        <v>1364</v>
      </c>
      <c r="N497" s="11">
        <v>70836</v>
      </c>
      <c r="O497" s="55">
        <f t="shared" si="9"/>
        <v>3825144</v>
      </c>
      <c r="P497" s="11"/>
      <c r="Q497" s="43" t="s">
        <v>1350</v>
      </c>
      <c r="R497" s="5">
        <v>9422033384</v>
      </c>
      <c r="S497" s="5" t="s">
        <v>1351</v>
      </c>
      <c r="T497" s="11" t="s">
        <v>32</v>
      </c>
      <c r="U497" s="11" t="s">
        <v>37</v>
      </c>
    </row>
    <row r="498" spans="1:21" s="1" customFormat="1" ht="14.4" x14ac:dyDescent="0.3">
      <c r="A498" s="33" t="s">
        <v>678</v>
      </c>
      <c r="B498" s="11" t="s">
        <v>679</v>
      </c>
      <c r="C498" s="11" t="s">
        <v>37</v>
      </c>
      <c r="D498" s="11" t="s">
        <v>1222</v>
      </c>
      <c r="E498" s="11">
        <v>1</v>
      </c>
      <c r="F498" s="5" t="s">
        <v>638</v>
      </c>
      <c r="G498" s="11" t="s">
        <v>23</v>
      </c>
      <c r="H498" s="11" t="s">
        <v>24</v>
      </c>
      <c r="I498" s="11" t="s">
        <v>25</v>
      </c>
      <c r="J498" s="11" t="s">
        <v>26</v>
      </c>
      <c r="K498" s="52">
        <v>41164</v>
      </c>
      <c r="L498" s="50">
        <v>46032</v>
      </c>
      <c r="M498" s="5" t="s">
        <v>642</v>
      </c>
      <c r="N498" s="54">
        <v>44925.33</v>
      </c>
      <c r="O498" s="55">
        <f t="shared" ref="O498:O529" si="10">N498*E498</f>
        <v>44925.33</v>
      </c>
      <c r="P498" s="11" t="s">
        <v>1170</v>
      </c>
      <c r="Q498" s="11" t="s">
        <v>37</v>
      </c>
      <c r="R498" s="11" t="s">
        <v>37</v>
      </c>
      <c r="S498" s="11" t="s">
        <v>37</v>
      </c>
      <c r="T498" s="11" t="s">
        <v>643</v>
      </c>
      <c r="U498" s="11" t="s">
        <v>37</v>
      </c>
    </row>
    <row r="499" spans="1:21" s="1" customFormat="1" ht="14.4" x14ac:dyDescent="0.3">
      <c r="A499" s="11" t="s">
        <v>646</v>
      </c>
      <c r="B499" s="11" t="s">
        <v>1225</v>
      </c>
      <c r="C499" s="11" t="s">
        <v>37</v>
      </c>
      <c r="D499" s="11" t="s">
        <v>1222</v>
      </c>
      <c r="E499" s="11">
        <v>1</v>
      </c>
      <c r="F499" s="5" t="s">
        <v>1287</v>
      </c>
      <c r="G499" s="11" t="s">
        <v>23</v>
      </c>
      <c r="H499" s="11" t="s">
        <v>24</v>
      </c>
      <c r="I499" s="11" t="s">
        <v>25</v>
      </c>
      <c r="J499" s="11" t="s">
        <v>26</v>
      </c>
      <c r="K499" s="52">
        <v>41844</v>
      </c>
      <c r="L499" s="50">
        <v>46084</v>
      </c>
      <c r="M499" s="11" t="s">
        <v>1224</v>
      </c>
      <c r="N499" s="11">
        <v>181000</v>
      </c>
      <c r="O499" s="55">
        <f t="shared" si="10"/>
        <v>181000</v>
      </c>
      <c r="P499" s="11" t="s">
        <v>73</v>
      </c>
      <c r="Q499" s="5" t="s">
        <v>37</v>
      </c>
      <c r="R499" s="34">
        <v>8044464585</v>
      </c>
      <c r="S499" s="5" t="s">
        <v>1223</v>
      </c>
      <c r="T499" s="11" t="s">
        <v>643</v>
      </c>
      <c r="U499" s="11" t="s">
        <v>37</v>
      </c>
    </row>
    <row r="500" spans="1:21" s="1" customFormat="1" ht="26.4" x14ac:dyDescent="0.3">
      <c r="A500" s="11" t="s">
        <v>639</v>
      </c>
      <c r="B500" s="11" t="s">
        <v>680</v>
      </c>
      <c r="C500" s="11" t="s">
        <v>37</v>
      </c>
      <c r="D500" s="11" t="s">
        <v>1222</v>
      </c>
      <c r="E500" s="12">
        <v>1</v>
      </c>
      <c r="F500" s="5" t="s">
        <v>37</v>
      </c>
      <c r="G500" s="11" t="s">
        <v>23</v>
      </c>
      <c r="H500" s="11" t="s">
        <v>24</v>
      </c>
      <c r="I500" s="11" t="s">
        <v>25</v>
      </c>
      <c r="J500" s="11" t="s">
        <v>26</v>
      </c>
      <c r="K500" s="52" t="s">
        <v>37</v>
      </c>
      <c r="L500" s="50">
        <v>46101</v>
      </c>
      <c r="M500" s="11" t="s">
        <v>37</v>
      </c>
      <c r="N500" s="11">
        <v>0</v>
      </c>
      <c r="O500" s="55">
        <f t="shared" si="10"/>
        <v>0</v>
      </c>
      <c r="P500" s="46"/>
      <c r="Q500" s="26" t="s">
        <v>37</v>
      </c>
      <c r="R500" s="26" t="s">
        <v>37</v>
      </c>
      <c r="S500" s="26" t="s">
        <v>37</v>
      </c>
      <c r="T500" s="26" t="s">
        <v>37</v>
      </c>
      <c r="U500" s="11" t="s">
        <v>37</v>
      </c>
    </row>
    <row r="501" spans="1:21" s="1" customFormat="1" ht="14.4" x14ac:dyDescent="0.3">
      <c r="A501" s="11" t="s">
        <v>637</v>
      </c>
      <c r="B501" s="11" t="s">
        <v>686</v>
      </c>
      <c r="C501" s="11" t="s">
        <v>37</v>
      </c>
      <c r="D501" s="11" t="s">
        <v>1222</v>
      </c>
      <c r="E501" s="11">
        <v>1</v>
      </c>
      <c r="F501" s="5" t="s">
        <v>1287</v>
      </c>
      <c r="G501" s="11" t="s">
        <v>23</v>
      </c>
      <c r="H501" s="11" t="s">
        <v>24</v>
      </c>
      <c r="I501" s="11" t="s">
        <v>25</v>
      </c>
      <c r="J501" s="11" t="s">
        <v>26</v>
      </c>
      <c r="K501" s="52">
        <v>41844</v>
      </c>
      <c r="L501" s="50">
        <v>46084</v>
      </c>
      <c r="M501" s="11" t="s">
        <v>1224</v>
      </c>
      <c r="N501" s="11">
        <v>266310</v>
      </c>
      <c r="O501" s="55">
        <f t="shared" si="10"/>
        <v>266310</v>
      </c>
      <c r="P501" s="11" t="s">
        <v>73</v>
      </c>
      <c r="Q501" s="5" t="s">
        <v>37</v>
      </c>
      <c r="R501" s="34">
        <v>8044464585</v>
      </c>
      <c r="S501" s="5" t="s">
        <v>1223</v>
      </c>
      <c r="T501" s="11" t="s">
        <v>643</v>
      </c>
      <c r="U501" s="11" t="s">
        <v>37</v>
      </c>
    </row>
    <row r="502" spans="1:21" s="1" customFormat="1" ht="14.4" x14ac:dyDescent="0.3">
      <c r="A502" s="11" t="s">
        <v>648</v>
      </c>
      <c r="B502" s="11" t="s">
        <v>681</v>
      </c>
      <c r="C502" s="11" t="s">
        <v>37</v>
      </c>
      <c r="D502" s="11" t="s">
        <v>1222</v>
      </c>
      <c r="E502" s="11">
        <v>1</v>
      </c>
      <c r="F502" s="5" t="s">
        <v>1287</v>
      </c>
      <c r="G502" s="11" t="s">
        <v>23</v>
      </c>
      <c r="H502" s="11" t="s">
        <v>24</v>
      </c>
      <c r="I502" s="11" t="s">
        <v>25</v>
      </c>
      <c r="J502" s="11" t="s">
        <v>26</v>
      </c>
      <c r="K502" s="52">
        <v>41844</v>
      </c>
      <c r="L502" s="50">
        <v>46084</v>
      </c>
      <c r="M502" s="11" t="s">
        <v>1224</v>
      </c>
      <c r="N502" s="11">
        <v>251976</v>
      </c>
      <c r="O502" s="55">
        <f t="shared" si="10"/>
        <v>251976</v>
      </c>
      <c r="P502" s="11" t="s">
        <v>73</v>
      </c>
      <c r="Q502" s="5" t="s">
        <v>37</v>
      </c>
      <c r="R502" s="34">
        <v>8044464585</v>
      </c>
      <c r="S502" s="5" t="s">
        <v>1223</v>
      </c>
      <c r="T502" s="11" t="s">
        <v>643</v>
      </c>
      <c r="U502" s="11" t="s">
        <v>37</v>
      </c>
    </row>
    <row r="503" spans="1:21" s="1" customFormat="1" ht="26.4" x14ac:dyDescent="0.3">
      <c r="A503" s="11" t="s">
        <v>639</v>
      </c>
      <c r="B503" s="11" t="s">
        <v>682</v>
      </c>
      <c r="C503" s="11" t="s">
        <v>37</v>
      </c>
      <c r="D503" s="11" t="s">
        <v>1222</v>
      </c>
      <c r="E503" s="12">
        <v>1</v>
      </c>
      <c r="F503" s="5" t="s">
        <v>37</v>
      </c>
      <c r="G503" s="11" t="s">
        <v>23</v>
      </c>
      <c r="H503" s="11" t="s">
        <v>24</v>
      </c>
      <c r="I503" s="11" t="s">
        <v>25</v>
      </c>
      <c r="J503" s="11" t="s">
        <v>26</v>
      </c>
      <c r="K503" s="52" t="s">
        <v>37</v>
      </c>
      <c r="L503" s="50">
        <v>46101</v>
      </c>
      <c r="M503" s="11" t="s">
        <v>37</v>
      </c>
      <c r="N503" s="11">
        <v>0</v>
      </c>
      <c r="O503" s="55">
        <f t="shared" si="10"/>
        <v>0</v>
      </c>
      <c r="P503" s="46"/>
      <c r="Q503" s="26" t="s">
        <v>37</v>
      </c>
      <c r="R503" s="26" t="s">
        <v>37</v>
      </c>
      <c r="S503" s="26" t="s">
        <v>37</v>
      </c>
      <c r="T503" s="26" t="s">
        <v>37</v>
      </c>
      <c r="U503" s="11" t="s">
        <v>37</v>
      </c>
    </row>
    <row r="504" spans="1:21" s="1" customFormat="1" ht="14.4" x14ac:dyDescent="0.3">
      <c r="A504" s="11" t="s">
        <v>650</v>
      </c>
      <c r="B504" s="11" t="s">
        <v>651</v>
      </c>
      <c r="C504" s="11" t="s">
        <v>37</v>
      </c>
      <c r="D504" s="11" t="s">
        <v>1222</v>
      </c>
      <c r="E504" s="11">
        <v>1</v>
      </c>
      <c r="F504" s="5" t="s">
        <v>1287</v>
      </c>
      <c r="G504" s="11" t="s">
        <v>23</v>
      </c>
      <c r="H504" s="11" t="s">
        <v>24</v>
      </c>
      <c r="I504" s="11" t="s">
        <v>25</v>
      </c>
      <c r="J504" s="11" t="s">
        <v>26</v>
      </c>
      <c r="K504" s="52">
        <v>41844</v>
      </c>
      <c r="L504" s="50">
        <v>46084</v>
      </c>
      <c r="M504" s="11" t="s">
        <v>1224</v>
      </c>
      <c r="N504" s="11">
        <v>181000</v>
      </c>
      <c r="O504" s="55">
        <f t="shared" si="10"/>
        <v>181000</v>
      </c>
      <c r="P504" s="11" t="s">
        <v>73</v>
      </c>
      <c r="Q504" s="5" t="s">
        <v>37</v>
      </c>
      <c r="R504" s="34">
        <v>8044464585</v>
      </c>
      <c r="S504" s="5" t="s">
        <v>1223</v>
      </c>
      <c r="T504" s="11" t="s">
        <v>643</v>
      </c>
      <c r="U504" s="11" t="s">
        <v>37</v>
      </c>
    </row>
    <row r="505" spans="1:21" s="1" customFormat="1" ht="14.4" x14ac:dyDescent="0.3">
      <c r="A505" s="11" t="s">
        <v>639</v>
      </c>
      <c r="B505" s="11" t="s">
        <v>640</v>
      </c>
      <c r="C505" s="11" t="s">
        <v>37</v>
      </c>
      <c r="D505" s="11" t="s">
        <v>1222</v>
      </c>
      <c r="E505" s="12">
        <v>1</v>
      </c>
      <c r="F505" s="5" t="s">
        <v>37</v>
      </c>
      <c r="G505" s="11" t="s">
        <v>23</v>
      </c>
      <c r="H505" s="11" t="s">
        <v>24</v>
      </c>
      <c r="I505" s="11" t="s">
        <v>25</v>
      </c>
      <c r="J505" s="11" t="s">
        <v>26</v>
      </c>
      <c r="K505" s="52" t="s">
        <v>37</v>
      </c>
      <c r="L505" s="50">
        <v>46101</v>
      </c>
      <c r="M505" s="11" t="s">
        <v>37</v>
      </c>
      <c r="N505" s="11">
        <v>0</v>
      </c>
      <c r="O505" s="55">
        <f t="shared" si="10"/>
        <v>0</v>
      </c>
      <c r="P505" s="46"/>
      <c r="Q505" s="26" t="s">
        <v>37</v>
      </c>
      <c r="R505" s="26" t="s">
        <v>37</v>
      </c>
      <c r="S505" s="26" t="s">
        <v>37</v>
      </c>
      <c r="T505" s="26" t="s">
        <v>37</v>
      </c>
      <c r="U505" s="11" t="s">
        <v>37</v>
      </c>
    </row>
    <row r="506" spans="1:21" s="1" customFormat="1" ht="26.4" x14ac:dyDescent="0.3">
      <c r="A506" s="11" t="s">
        <v>1366</v>
      </c>
      <c r="B506" s="11" t="s">
        <v>1343</v>
      </c>
      <c r="C506" s="11" t="s">
        <v>1344</v>
      </c>
      <c r="D506" s="11" t="s">
        <v>1222</v>
      </c>
      <c r="E506" s="12">
        <v>54</v>
      </c>
      <c r="F506" s="5" t="s">
        <v>1345</v>
      </c>
      <c r="G506" s="11" t="s">
        <v>23</v>
      </c>
      <c r="H506" s="11" t="s">
        <v>24</v>
      </c>
      <c r="I506" s="11" t="s">
        <v>653</v>
      </c>
      <c r="J506" s="11" t="s">
        <v>26</v>
      </c>
      <c r="K506" s="52">
        <v>44995</v>
      </c>
      <c r="L506" s="50">
        <v>46101</v>
      </c>
      <c r="M506" s="11" t="s">
        <v>1364</v>
      </c>
      <c r="N506" s="11">
        <v>70836</v>
      </c>
      <c r="O506" s="55">
        <f t="shared" si="10"/>
        <v>3825144</v>
      </c>
      <c r="P506" s="11"/>
      <c r="Q506" s="43" t="s">
        <v>1350</v>
      </c>
      <c r="R506" s="5">
        <v>9422033384</v>
      </c>
      <c r="S506" s="5" t="s">
        <v>1351</v>
      </c>
      <c r="T506" s="11" t="s">
        <v>32</v>
      </c>
      <c r="U506" s="11" t="s">
        <v>37</v>
      </c>
    </row>
    <row r="507" spans="1:21" s="1" customFormat="1" ht="14.4" x14ac:dyDescent="0.3">
      <c r="A507" s="33" t="s">
        <v>683</v>
      </c>
      <c r="B507" s="11" t="s">
        <v>684</v>
      </c>
      <c r="C507" s="11" t="s">
        <v>37</v>
      </c>
      <c r="D507" s="11" t="s">
        <v>1222</v>
      </c>
      <c r="E507" s="11">
        <v>1</v>
      </c>
      <c r="F507" s="5" t="s">
        <v>638</v>
      </c>
      <c r="G507" s="11" t="s">
        <v>23</v>
      </c>
      <c r="H507" s="11" t="s">
        <v>24</v>
      </c>
      <c r="I507" s="11" t="s">
        <v>25</v>
      </c>
      <c r="J507" s="11" t="s">
        <v>26</v>
      </c>
      <c r="K507" s="52">
        <v>41164</v>
      </c>
      <c r="L507" s="50">
        <v>46032</v>
      </c>
      <c r="M507" s="5" t="s">
        <v>642</v>
      </c>
      <c r="N507" s="54">
        <v>44925.33</v>
      </c>
      <c r="O507" s="55">
        <f t="shared" si="10"/>
        <v>44925.33</v>
      </c>
      <c r="P507" s="11" t="s">
        <v>1170</v>
      </c>
      <c r="Q507" s="11" t="s">
        <v>37</v>
      </c>
      <c r="R507" s="11" t="s">
        <v>37</v>
      </c>
      <c r="S507" s="11" t="s">
        <v>37</v>
      </c>
      <c r="T507" s="11" t="s">
        <v>643</v>
      </c>
      <c r="U507" s="11" t="s">
        <v>37</v>
      </c>
    </row>
    <row r="508" spans="1:21" s="1" customFormat="1" ht="14.4" x14ac:dyDescent="0.3">
      <c r="A508" s="11" t="s">
        <v>646</v>
      </c>
      <c r="B508" s="11" t="s">
        <v>1225</v>
      </c>
      <c r="C508" s="11" t="s">
        <v>37</v>
      </c>
      <c r="D508" s="11" t="s">
        <v>1222</v>
      </c>
      <c r="E508" s="11">
        <v>1</v>
      </c>
      <c r="F508" s="5" t="s">
        <v>1287</v>
      </c>
      <c r="G508" s="11" t="s">
        <v>23</v>
      </c>
      <c r="H508" s="11" t="s">
        <v>24</v>
      </c>
      <c r="I508" s="11" t="s">
        <v>25</v>
      </c>
      <c r="J508" s="11" t="s">
        <v>26</v>
      </c>
      <c r="K508" s="52">
        <v>41844</v>
      </c>
      <c r="L508" s="50">
        <v>46084</v>
      </c>
      <c r="M508" s="11" t="s">
        <v>1224</v>
      </c>
      <c r="N508" s="11">
        <v>181000</v>
      </c>
      <c r="O508" s="55">
        <f t="shared" si="10"/>
        <v>181000</v>
      </c>
      <c r="P508" s="11" t="s">
        <v>73</v>
      </c>
      <c r="Q508" s="5" t="s">
        <v>37</v>
      </c>
      <c r="R508" s="34">
        <v>8044464585</v>
      </c>
      <c r="S508" s="5" t="s">
        <v>1223</v>
      </c>
      <c r="T508" s="11" t="s">
        <v>643</v>
      </c>
      <c r="U508" s="11" t="s">
        <v>37</v>
      </c>
    </row>
    <row r="509" spans="1:21" s="1" customFormat="1" ht="14.4" x14ac:dyDescent="0.3">
      <c r="A509" s="11" t="s">
        <v>639</v>
      </c>
      <c r="B509" s="11" t="s">
        <v>685</v>
      </c>
      <c r="C509" s="11" t="s">
        <v>37</v>
      </c>
      <c r="D509" s="11" t="s">
        <v>1222</v>
      </c>
      <c r="E509" s="12">
        <v>1</v>
      </c>
      <c r="F509" s="5" t="s">
        <v>37</v>
      </c>
      <c r="G509" s="11" t="s">
        <v>23</v>
      </c>
      <c r="H509" s="11" t="s">
        <v>24</v>
      </c>
      <c r="I509" s="11" t="s">
        <v>25</v>
      </c>
      <c r="J509" s="11" t="s">
        <v>26</v>
      </c>
      <c r="K509" s="52" t="s">
        <v>37</v>
      </c>
      <c r="L509" s="50">
        <v>46101</v>
      </c>
      <c r="M509" s="11" t="s">
        <v>37</v>
      </c>
      <c r="N509" s="11">
        <v>0</v>
      </c>
      <c r="O509" s="55">
        <f t="shared" si="10"/>
        <v>0</v>
      </c>
      <c r="P509" s="46"/>
      <c r="Q509" s="26" t="s">
        <v>37</v>
      </c>
      <c r="R509" s="26" t="s">
        <v>37</v>
      </c>
      <c r="S509" s="26" t="s">
        <v>37</v>
      </c>
      <c r="T509" s="26" t="s">
        <v>37</v>
      </c>
      <c r="U509" s="11" t="s">
        <v>37</v>
      </c>
    </row>
    <row r="510" spans="1:21" s="1" customFormat="1" ht="14.4" x14ac:dyDescent="0.3">
      <c r="A510" s="11" t="s">
        <v>637</v>
      </c>
      <c r="B510" s="11" t="s">
        <v>686</v>
      </c>
      <c r="C510" s="11" t="s">
        <v>37</v>
      </c>
      <c r="D510" s="11" t="s">
        <v>1222</v>
      </c>
      <c r="E510" s="11">
        <v>1</v>
      </c>
      <c r="F510" s="5" t="s">
        <v>1287</v>
      </c>
      <c r="G510" s="11" t="s">
        <v>23</v>
      </c>
      <c r="H510" s="11" t="s">
        <v>24</v>
      </c>
      <c r="I510" s="11" t="s">
        <v>25</v>
      </c>
      <c r="J510" s="11" t="s">
        <v>26</v>
      </c>
      <c r="K510" s="52">
        <v>41844</v>
      </c>
      <c r="L510" s="50">
        <v>46084</v>
      </c>
      <c r="M510" s="11" t="s">
        <v>1224</v>
      </c>
      <c r="N510" s="11">
        <v>266310</v>
      </c>
      <c r="O510" s="55">
        <f t="shared" si="10"/>
        <v>266310</v>
      </c>
      <c r="P510" s="11" t="s">
        <v>73</v>
      </c>
      <c r="Q510" s="5" t="s">
        <v>37</v>
      </c>
      <c r="R510" s="34">
        <v>8044464585</v>
      </c>
      <c r="S510" s="5" t="s">
        <v>1223</v>
      </c>
      <c r="T510" s="11" t="s">
        <v>643</v>
      </c>
      <c r="U510" s="11" t="s">
        <v>37</v>
      </c>
    </row>
    <row r="511" spans="1:21" s="1" customFormat="1" ht="14.4" x14ac:dyDescent="0.3">
      <c r="A511" s="11" t="s">
        <v>648</v>
      </c>
      <c r="B511" s="11" t="s">
        <v>681</v>
      </c>
      <c r="C511" s="11" t="s">
        <v>37</v>
      </c>
      <c r="D511" s="11" t="s">
        <v>1222</v>
      </c>
      <c r="E511" s="11">
        <v>1</v>
      </c>
      <c r="F511" s="5" t="s">
        <v>1287</v>
      </c>
      <c r="G511" s="11" t="s">
        <v>23</v>
      </c>
      <c r="H511" s="11" t="s">
        <v>24</v>
      </c>
      <c r="I511" s="11" t="s">
        <v>25</v>
      </c>
      <c r="J511" s="11" t="s">
        <v>26</v>
      </c>
      <c r="K511" s="52">
        <v>41844</v>
      </c>
      <c r="L511" s="50">
        <v>46084</v>
      </c>
      <c r="M511" s="11" t="s">
        <v>1224</v>
      </c>
      <c r="N511" s="11">
        <v>251976</v>
      </c>
      <c r="O511" s="55">
        <f t="shared" si="10"/>
        <v>251976</v>
      </c>
      <c r="P511" s="11" t="s">
        <v>73</v>
      </c>
      <c r="Q511" s="5" t="s">
        <v>37</v>
      </c>
      <c r="R511" s="34">
        <v>8044464585</v>
      </c>
      <c r="S511" s="5" t="s">
        <v>1223</v>
      </c>
      <c r="T511" s="11" t="s">
        <v>643</v>
      </c>
      <c r="U511" s="11" t="s">
        <v>37</v>
      </c>
    </row>
    <row r="512" spans="1:21" s="1" customFormat="1" ht="26.4" x14ac:dyDescent="0.3">
      <c r="A512" s="11" t="s">
        <v>639</v>
      </c>
      <c r="B512" s="11" t="s">
        <v>687</v>
      </c>
      <c r="C512" s="11" t="s">
        <v>37</v>
      </c>
      <c r="D512" s="11" t="s">
        <v>1222</v>
      </c>
      <c r="E512" s="12">
        <v>1</v>
      </c>
      <c r="F512" s="5" t="s">
        <v>37</v>
      </c>
      <c r="G512" s="11" t="s">
        <v>23</v>
      </c>
      <c r="H512" s="11" t="s">
        <v>24</v>
      </c>
      <c r="I512" s="11" t="s">
        <v>25</v>
      </c>
      <c r="J512" s="11" t="s">
        <v>26</v>
      </c>
      <c r="K512" s="52" t="s">
        <v>37</v>
      </c>
      <c r="L512" s="50">
        <v>46101</v>
      </c>
      <c r="M512" s="11" t="s">
        <v>37</v>
      </c>
      <c r="N512" s="11">
        <v>0</v>
      </c>
      <c r="O512" s="55">
        <f t="shared" si="10"/>
        <v>0</v>
      </c>
      <c r="P512" s="46"/>
      <c r="Q512" s="26" t="s">
        <v>37</v>
      </c>
      <c r="R512" s="26" t="s">
        <v>37</v>
      </c>
      <c r="S512" s="26" t="s">
        <v>37</v>
      </c>
      <c r="T512" s="26" t="s">
        <v>37</v>
      </c>
      <c r="U512" s="11" t="s">
        <v>37</v>
      </c>
    </row>
    <row r="513" spans="1:21" s="1" customFormat="1" ht="14.4" x14ac:dyDescent="0.3">
      <c r="A513" s="11" t="s">
        <v>650</v>
      </c>
      <c r="B513" s="11" t="s">
        <v>651</v>
      </c>
      <c r="C513" s="11" t="s">
        <v>37</v>
      </c>
      <c r="D513" s="11" t="s">
        <v>1222</v>
      </c>
      <c r="E513" s="11">
        <v>1</v>
      </c>
      <c r="F513" s="5" t="s">
        <v>1287</v>
      </c>
      <c r="G513" s="11" t="s">
        <v>23</v>
      </c>
      <c r="H513" s="11" t="s">
        <v>24</v>
      </c>
      <c r="I513" s="11" t="s">
        <v>25</v>
      </c>
      <c r="J513" s="11" t="s">
        <v>26</v>
      </c>
      <c r="K513" s="52">
        <v>41844</v>
      </c>
      <c r="L513" s="50">
        <v>46084</v>
      </c>
      <c r="M513" s="11" t="s">
        <v>1224</v>
      </c>
      <c r="N513" s="11">
        <v>181000</v>
      </c>
      <c r="O513" s="55">
        <f t="shared" si="10"/>
        <v>181000</v>
      </c>
      <c r="P513" s="11" t="s">
        <v>73</v>
      </c>
      <c r="Q513" s="5" t="s">
        <v>37</v>
      </c>
      <c r="R513" s="34">
        <v>8044464585</v>
      </c>
      <c r="S513" s="5" t="s">
        <v>1223</v>
      </c>
      <c r="T513" s="11" t="s">
        <v>643</v>
      </c>
      <c r="U513" s="11" t="s">
        <v>37</v>
      </c>
    </row>
    <row r="514" spans="1:21" s="1" customFormat="1" ht="26.4" x14ac:dyDescent="0.3">
      <c r="A514" s="11" t="s">
        <v>639</v>
      </c>
      <c r="B514" s="11" t="s">
        <v>688</v>
      </c>
      <c r="C514" s="11" t="s">
        <v>37</v>
      </c>
      <c r="D514" s="11" t="s">
        <v>1222</v>
      </c>
      <c r="E514" s="12">
        <v>1</v>
      </c>
      <c r="F514" s="5" t="s">
        <v>37</v>
      </c>
      <c r="G514" s="11" t="s">
        <v>23</v>
      </c>
      <c r="H514" s="11" t="s">
        <v>24</v>
      </c>
      <c r="I514" s="11" t="s">
        <v>25</v>
      </c>
      <c r="J514" s="11" t="s">
        <v>26</v>
      </c>
      <c r="K514" s="52" t="s">
        <v>37</v>
      </c>
      <c r="L514" s="50">
        <v>46101</v>
      </c>
      <c r="M514" s="11" t="s">
        <v>37</v>
      </c>
      <c r="N514" s="11">
        <v>0</v>
      </c>
      <c r="O514" s="55">
        <f t="shared" si="10"/>
        <v>0</v>
      </c>
      <c r="P514" s="46"/>
      <c r="Q514" s="26" t="s">
        <v>37</v>
      </c>
      <c r="R514" s="26" t="s">
        <v>37</v>
      </c>
      <c r="S514" s="26" t="s">
        <v>37</v>
      </c>
      <c r="T514" s="26" t="s">
        <v>37</v>
      </c>
      <c r="U514" s="11" t="s">
        <v>37</v>
      </c>
    </row>
    <row r="515" spans="1:21" s="1" customFormat="1" ht="26.4" x14ac:dyDescent="0.3">
      <c r="A515" s="11" t="s">
        <v>1366</v>
      </c>
      <c r="B515" s="11" t="s">
        <v>1343</v>
      </c>
      <c r="C515" s="11" t="s">
        <v>1344</v>
      </c>
      <c r="D515" s="11" t="s">
        <v>1222</v>
      </c>
      <c r="E515" s="12">
        <v>54</v>
      </c>
      <c r="F515" s="5" t="s">
        <v>1345</v>
      </c>
      <c r="G515" s="11" t="s">
        <v>23</v>
      </c>
      <c r="H515" s="11" t="s">
        <v>24</v>
      </c>
      <c r="I515" s="11" t="s">
        <v>653</v>
      </c>
      <c r="J515" s="11" t="s">
        <v>26</v>
      </c>
      <c r="K515" s="52">
        <v>44995</v>
      </c>
      <c r="L515" s="50">
        <v>46101</v>
      </c>
      <c r="M515" s="11" t="s">
        <v>1364</v>
      </c>
      <c r="N515" s="11">
        <v>70836</v>
      </c>
      <c r="O515" s="55">
        <f t="shared" si="10"/>
        <v>3825144</v>
      </c>
      <c r="P515" s="11"/>
      <c r="Q515" s="43" t="s">
        <v>1350</v>
      </c>
      <c r="R515" s="5">
        <v>9422033384</v>
      </c>
      <c r="S515" s="5" t="s">
        <v>1351</v>
      </c>
      <c r="T515" s="11" t="s">
        <v>32</v>
      </c>
      <c r="U515" s="11" t="s">
        <v>37</v>
      </c>
    </row>
    <row r="516" spans="1:21" s="1" customFormat="1" ht="14.4" x14ac:dyDescent="0.3">
      <c r="A516" s="33" t="s">
        <v>689</v>
      </c>
      <c r="B516" s="11" t="s">
        <v>690</v>
      </c>
      <c r="C516" s="11" t="s">
        <v>37</v>
      </c>
      <c r="D516" s="11" t="s">
        <v>1222</v>
      </c>
      <c r="E516" s="11">
        <v>1</v>
      </c>
      <c r="F516" s="5" t="s">
        <v>638</v>
      </c>
      <c r="G516" s="11" t="s">
        <v>23</v>
      </c>
      <c r="H516" s="11" t="s">
        <v>24</v>
      </c>
      <c r="I516" s="11" t="s">
        <v>25</v>
      </c>
      <c r="J516" s="11" t="s">
        <v>26</v>
      </c>
      <c r="K516" s="52">
        <v>41164</v>
      </c>
      <c r="L516" s="50">
        <v>46032</v>
      </c>
      <c r="M516" s="5" t="s">
        <v>642</v>
      </c>
      <c r="N516" s="54">
        <v>44925.33</v>
      </c>
      <c r="O516" s="55">
        <f t="shared" si="10"/>
        <v>44925.33</v>
      </c>
      <c r="P516" s="11" t="s">
        <v>1170</v>
      </c>
      <c r="Q516" s="11" t="s">
        <v>37</v>
      </c>
      <c r="R516" s="11" t="s">
        <v>37</v>
      </c>
      <c r="S516" s="11" t="s">
        <v>37</v>
      </c>
      <c r="T516" s="11" t="s">
        <v>643</v>
      </c>
      <c r="U516" s="11" t="s">
        <v>37</v>
      </c>
    </row>
    <row r="517" spans="1:21" s="1" customFormat="1" ht="14.4" x14ac:dyDescent="0.3">
      <c r="A517" s="11" t="s">
        <v>646</v>
      </c>
      <c r="B517" s="11" t="s">
        <v>1225</v>
      </c>
      <c r="C517" s="11" t="s">
        <v>37</v>
      </c>
      <c r="D517" s="11" t="s">
        <v>1222</v>
      </c>
      <c r="E517" s="11">
        <v>1</v>
      </c>
      <c r="F517" s="5" t="s">
        <v>1287</v>
      </c>
      <c r="G517" s="11" t="s">
        <v>23</v>
      </c>
      <c r="H517" s="11" t="s">
        <v>24</v>
      </c>
      <c r="I517" s="11" t="s">
        <v>25</v>
      </c>
      <c r="J517" s="11" t="s">
        <v>26</v>
      </c>
      <c r="K517" s="52">
        <v>41844</v>
      </c>
      <c r="L517" s="50">
        <v>46084</v>
      </c>
      <c r="M517" s="11" t="s">
        <v>1224</v>
      </c>
      <c r="N517" s="11">
        <v>181000</v>
      </c>
      <c r="O517" s="55">
        <f t="shared" si="10"/>
        <v>181000</v>
      </c>
      <c r="P517" s="11" t="s">
        <v>73</v>
      </c>
      <c r="Q517" s="5" t="s">
        <v>37</v>
      </c>
      <c r="R517" s="34">
        <v>8044464585</v>
      </c>
      <c r="S517" s="5" t="s">
        <v>1223</v>
      </c>
      <c r="T517" s="11" t="s">
        <v>643</v>
      </c>
      <c r="U517" s="11" t="s">
        <v>37</v>
      </c>
    </row>
    <row r="518" spans="1:21" s="1" customFormat="1" ht="14.4" x14ac:dyDescent="0.3">
      <c r="A518" s="11" t="s">
        <v>639</v>
      </c>
      <c r="B518" s="11" t="s">
        <v>659</v>
      </c>
      <c r="C518" s="11" t="s">
        <v>37</v>
      </c>
      <c r="D518" s="11" t="s">
        <v>1222</v>
      </c>
      <c r="E518" s="12">
        <v>1</v>
      </c>
      <c r="F518" s="5" t="s">
        <v>37</v>
      </c>
      <c r="G518" s="11" t="s">
        <v>23</v>
      </c>
      <c r="H518" s="11" t="s">
        <v>24</v>
      </c>
      <c r="I518" s="11" t="s">
        <v>25</v>
      </c>
      <c r="J518" s="11" t="s">
        <v>26</v>
      </c>
      <c r="K518" s="52" t="s">
        <v>37</v>
      </c>
      <c r="L518" s="50">
        <v>46101</v>
      </c>
      <c r="M518" s="11" t="s">
        <v>37</v>
      </c>
      <c r="N518" s="11">
        <v>0</v>
      </c>
      <c r="O518" s="55">
        <f t="shared" si="10"/>
        <v>0</v>
      </c>
      <c r="P518" s="46"/>
      <c r="Q518" s="26" t="s">
        <v>37</v>
      </c>
      <c r="R518" s="26" t="s">
        <v>37</v>
      </c>
      <c r="S518" s="26" t="s">
        <v>37</v>
      </c>
      <c r="T518" s="26" t="s">
        <v>37</v>
      </c>
      <c r="U518" s="11" t="s">
        <v>37</v>
      </c>
    </row>
    <row r="519" spans="1:21" s="1" customFormat="1" ht="14.4" x14ac:dyDescent="0.3">
      <c r="A519" s="11" t="s">
        <v>637</v>
      </c>
      <c r="B519" s="11" t="s">
        <v>686</v>
      </c>
      <c r="C519" s="11" t="s">
        <v>37</v>
      </c>
      <c r="D519" s="11" t="s">
        <v>1222</v>
      </c>
      <c r="E519" s="11">
        <v>1</v>
      </c>
      <c r="F519" s="5" t="s">
        <v>1287</v>
      </c>
      <c r="G519" s="11" t="s">
        <v>23</v>
      </c>
      <c r="H519" s="11" t="s">
        <v>24</v>
      </c>
      <c r="I519" s="11" t="s">
        <v>25</v>
      </c>
      <c r="J519" s="11" t="s">
        <v>26</v>
      </c>
      <c r="K519" s="52">
        <v>41844</v>
      </c>
      <c r="L519" s="50">
        <v>46084</v>
      </c>
      <c r="M519" s="11" t="s">
        <v>1224</v>
      </c>
      <c r="N519" s="11">
        <v>266310</v>
      </c>
      <c r="O519" s="55">
        <f t="shared" si="10"/>
        <v>266310</v>
      </c>
      <c r="P519" s="11" t="s">
        <v>73</v>
      </c>
      <c r="Q519" s="5" t="s">
        <v>37</v>
      </c>
      <c r="R519" s="34">
        <v>8044464585</v>
      </c>
      <c r="S519" s="5" t="s">
        <v>1223</v>
      </c>
      <c r="T519" s="11" t="s">
        <v>643</v>
      </c>
      <c r="U519" s="11" t="s">
        <v>37</v>
      </c>
    </row>
    <row r="520" spans="1:21" s="1" customFormat="1" ht="26.4" x14ac:dyDescent="0.3">
      <c r="A520" s="11" t="s">
        <v>639</v>
      </c>
      <c r="B520" s="11" t="s">
        <v>691</v>
      </c>
      <c r="C520" s="11" t="s">
        <v>37</v>
      </c>
      <c r="D520" s="11" t="s">
        <v>1222</v>
      </c>
      <c r="E520" s="12">
        <v>1</v>
      </c>
      <c r="F520" s="5" t="s">
        <v>37</v>
      </c>
      <c r="G520" s="11" t="s">
        <v>23</v>
      </c>
      <c r="H520" s="11" t="s">
        <v>24</v>
      </c>
      <c r="I520" s="11" t="s">
        <v>25</v>
      </c>
      <c r="J520" s="11" t="s">
        <v>26</v>
      </c>
      <c r="K520" s="52" t="s">
        <v>37</v>
      </c>
      <c r="L520" s="50">
        <v>46101</v>
      </c>
      <c r="M520" s="11" t="s">
        <v>37</v>
      </c>
      <c r="N520" s="11">
        <v>0</v>
      </c>
      <c r="O520" s="55">
        <f t="shared" si="10"/>
        <v>0</v>
      </c>
      <c r="P520" s="46"/>
      <c r="Q520" s="26" t="s">
        <v>37</v>
      </c>
      <c r="R520" s="26" t="s">
        <v>37</v>
      </c>
      <c r="S520" s="26" t="s">
        <v>37</v>
      </c>
      <c r="T520" s="26" t="s">
        <v>37</v>
      </c>
      <c r="U520" s="11" t="s">
        <v>37</v>
      </c>
    </row>
    <row r="521" spans="1:21" s="1" customFormat="1" ht="14.4" x14ac:dyDescent="0.3">
      <c r="A521" s="11" t="s">
        <v>648</v>
      </c>
      <c r="B521" s="11" t="s">
        <v>681</v>
      </c>
      <c r="C521" s="11" t="s">
        <v>37</v>
      </c>
      <c r="D521" s="11" t="s">
        <v>1222</v>
      </c>
      <c r="E521" s="11">
        <v>1</v>
      </c>
      <c r="F521" s="5" t="s">
        <v>1287</v>
      </c>
      <c r="G521" s="11" t="s">
        <v>23</v>
      </c>
      <c r="H521" s="11" t="s">
        <v>24</v>
      </c>
      <c r="I521" s="11" t="s">
        <v>25</v>
      </c>
      <c r="J521" s="11" t="s">
        <v>26</v>
      </c>
      <c r="K521" s="52">
        <v>41844</v>
      </c>
      <c r="L521" s="50">
        <v>46084</v>
      </c>
      <c r="M521" s="11" t="s">
        <v>1224</v>
      </c>
      <c r="N521" s="11">
        <v>251976</v>
      </c>
      <c r="O521" s="55">
        <f t="shared" si="10"/>
        <v>251976</v>
      </c>
      <c r="P521" s="11" t="s">
        <v>73</v>
      </c>
      <c r="Q521" s="5" t="s">
        <v>37</v>
      </c>
      <c r="R521" s="34">
        <v>8044464585</v>
      </c>
      <c r="S521" s="5" t="s">
        <v>1223</v>
      </c>
      <c r="T521" s="11" t="s">
        <v>643</v>
      </c>
      <c r="U521" s="11" t="s">
        <v>37</v>
      </c>
    </row>
    <row r="522" spans="1:21" s="1" customFormat="1" ht="14.4" x14ac:dyDescent="0.3">
      <c r="A522" s="11" t="s">
        <v>639</v>
      </c>
      <c r="B522" s="11" t="s">
        <v>661</v>
      </c>
      <c r="C522" s="11" t="s">
        <v>37</v>
      </c>
      <c r="D522" s="11" t="s">
        <v>1222</v>
      </c>
      <c r="E522" s="12">
        <v>1</v>
      </c>
      <c r="F522" s="5" t="s">
        <v>37</v>
      </c>
      <c r="G522" s="11" t="s">
        <v>23</v>
      </c>
      <c r="H522" s="11" t="s">
        <v>24</v>
      </c>
      <c r="I522" s="11" t="s">
        <v>25</v>
      </c>
      <c r="J522" s="11" t="s">
        <v>26</v>
      </c>
      <c r="K522" s="52" t="s">
        <v>37</v>
      </c>
      <c r="L522" s="50">
        <v>46101</v>
      </c>
      <c r="M522" s="11" t="s">
        <v>37</v>
      </c>
      <c r="N522" s="11">
        <v>0</v>
      </c>
      <c r="O522" s="55">
        <f t="shared" si="10"/>
        <v>0</v>
      </c>
      <c r="P522" s="46"/>
      <c r="Q522" s="26" t="s">
        <v>37</v>
      </c>
      <c r="R522" s="26" t="s">
        <v>37</v>
      </c>
      <c r="S522" s="26" t="s">
        <v>37</v>
      </c>
      <c r="T522" s="26" t="s">
        <v>37</v>
      </c>
      <c r="U522" s="11" t="s">
        <v>37</v>
      </c>
    </row>
    <row r="523" spans="1:21" s="1" customFormat="1" ht="14.4" x14ac:dyDescent="0.3">
      <c r="A523" s="11" t="s">
        <v>650</v>
      </c>
      <c r="B523" s="11" t="s">
        <v>651</v>
      </c>
      <c r="C523" s="11" t="s">
        <v>37</v>
      </c>
      <c r="D523" s="11" t="s">
        <v>1222</v>
      </c>
      <c r="E523" s="11">
        <v>1</v>
      </c>
      <c r="F523" s="5" t="s">
        <v>1287</v>
      </c>
      <c r="G523" s="11" t="s">
        <v>23</v>
      </c>
      <c r="H523" s="11" t="s">
        <v>24</v>
      </c>
      <c r="I523" s="11" t="s">
        <v>25</v>
      </c>
      <c r="J523" s="11" t="s">
        <v>26</v>
      </c>
      <c r="K523" s="52">
        <v>41844</v>
      </c>
      <c r="L523" s="50">
        <v>46084</v>
      </c>
      <c r="M523" s="11" t="s">
        <v>1224</v>
      </c>
      <c r="N523" s="11">
        <v>181000</v>
      </c>
      <c r="O523" s="55">
        <f t="shared" si="10"/>
        <v>181000</v>
      </c>
      <c r="P523" s="11" t="s">
        <v>73</v>
      </c>
      <c r="Q523" s="5" t="s">
        <v>37</v>
      </c>
      <c r="R523" s="34">
        <v>8044464585</v>
      </c>
      <c r="S523" s="5" t="s">
        <v>1223</v>
      </c>
      <c r="T523" s="11" t="s">
        <v>643</v>
      </c>
      <c r="U523" s="11" t="s">
        <v>37</v>
      </c>
    </row>
    <row r="524" spans="1:21" s="1" customFormat="1" ht="14.4" x14ac:dyDescent="0.3">
      <c r="A524" s="11" t="s">
        <v>639</v>
      </c>
      <c r="B524" s="11" t="s">
        <v>640</v>
      </c>
      <c r="C524" s="11" t="s">
        <v>37</v>
      </c>
      <c r="D524" s="11" t="s">
        <v>1222</v>
      </c>
      <c r="E524" s="12">
        <v>1</v>
      </c>
      <c r="F524" s="5" t="s">
        <v>37</v>
      </c>
      <c r="G524" s="11" t="s">
        <v>23</v>
      </c>
      <c r="H524" s="11" t="s">
        <v>24</v>
      </c>
      <c r="I524" s="11" t="s">
        <v>25</v>
      </c>
      <c r="J524" s="11" t="s">
        <v>26</v>
      </c>
      <c r="K524" s="52" t="s">
        <v>37</v>
      </c>
      <c r="L524" s="50">
        <v>46101</v>
      </c>
      <c r="M524" s="11" t="s">
        <v>37</v>
      </c>
      <c r="N524" s="11">
        <v>0</v>
      </c>
      <c r="O524" s="55">
        <f t="shared" si="10"/>
        <v>0</v>
      </c>
      <c r="P524" s="46"/>
      <c r="Q524" s="26" t="s">
        <v>37</v>
      </c>
      <c r="R524" s="26" t="s">
        <v>37</v>
      </c>
      <c r="S524" s="26" t="s">
        <v>37</v>
      </c>
      <c r="T524" s="26" t="s">
        <v>37</v>
      </c>
      <c r="U524" s="11" t="s">
        <v>37</v>
      </c>
    </row>
    <row r="525" spans="1:21" s="1" customFormat="1" ht="14.4" x14ac:dyDescent="0.3">
      <c r="A525" s="33" t="s">
        <v>692</v>
      </c>
      <c r="B525" s="11" t="s">
        <v>693</v>
      </c>
      <c r="C525" s="11" t="s">
        <v>37</v>
      </c>
      <c r="D525" s="11" t="s">
        <v>1222</v>
      </c>
      <c r="E525" s="11">
        <v>1</v>
      </c>
      <c r="F525" s="5" t="s">
        <v>638</v>
      </c>
      <c r="G525" s="11" t="s">
        <v>23</v>
      </c>
      <c r="H525" s="11" t="s">
        <v>24</v>
      </c>
      <c r="I525" s="11" t="s">
        <v>25</v>
      </c>
      <c r="J525" s="11" t="s">
        <v>26</v>
      </c>
      <c r="K525" s="52">
        <v>41164</v>
      </c>
      <c r="L525" s="50">
        <v>46032</v>
      </c>
      <c r="M525" s="5" t="s">
        <v>642</v>
      </c>
      <c r="N525" s="54">
        <v>44925.33</v>
      </c>
      <c r="O525" s="55">
        <f t="shared" si="10"/>
        <v>44925.33</v>
      </c>
      <c r="P525" s="11" t="s">
        <v>1170</v>
      </c>
      <c r="Q525" s="11" t="s">
        <v>37</v>
      </c>
      <c r="R525" s="11" t="s">
        <v>37</v>
      </c>
      <c r="S525" s="11" t="s">
        <v>37</v>
      </c>
      <c r="T525" s="11" t="s">
        <v>643</v>
      </c>
      <c r="U525" s="11" t="s">
        <v>37</v>
      </c>
    </row>
    <row r="526" spans="1:21" s="1" customFormat="1" ht="14.4" x14ac:dyDescent="0.3">
      <c r="A526" s="11" t="s">
        <v>646</v>
      </c>
      <c r="B526" s="11" t="s">
        <v>1225</v>
      </c>
      <c r="C526" s="11" t="s">
        <v>37</v>
      </c>
      <c r="D526" s="11" t="s">
        <v>1222</v>
      </c>
      <c r="E526" s="11">
        <v>1</v>
      </c>
      <c r="F526" s="5" t="s">
        <v>1287</v>
      </c>
      <c r="G526" s="11" t="s">
        <v>23</v>
      </c>
      <c r="H526" s="11" t="s">
        <v>24</v>
      </c>
      <c r="I526" s="11" t="s">
        <v>25</v>
      </c>
      <c r="J526" s="11" t="s">
        <v>26</v>
      </c>
      <c r="K526" s="52">
        <v>41844</v>
      </c>
      <c r="L526" s="50">
        <v>46084</v>
      </c>
      <c r="M526" s="11" t="s">
        <v>1224</v>
      </c>
      <c r="N526" s="11">
        <v>181000</v>
      </c>
      <c r="O526" s="55">
        <f t="shared" si="10"/>
        <v>181000</v>
      </c>
      <c r="P526" s="11" t="s">
        <v>73</v>
      </c>
      <c r="Q526" s="5" t="s">
        <v>37</v>
      </c>
      <c r="R526" s="34">
        <v>8044464585</v>
      </c>
      <c r="S526" s="5" t="s">
        <v>1223</v>
      </c>
      <c r="T526" s="11" t="s">
        <v>643</v>
      </c>
      <c r="U526" s="11" t="s">
        <v>37</v>
      </c>
    </row>
    <row r="527" spans="1:21" s="1" customFormat="1" ht="14.4" x14ac:dyDescent="0.3">
      <c r="A527" s="11" t="s">
        <v>639</v>
      </c>
      <c r="B527" s="11" t="s">
        <v>659</v>
      </c>
      <c r="C527" s="11" t="s">
        <v>37</v>
      </c>
      <c r="D527" s="11" t="s">
        <v>1222</v>
      </c>
      <c r="E527" s="12">
        <v>1</v>
      </c>
      <c r="F527" s="5" t="s">
        <v>37</v>
      </c>
      <c r="G527" s="11" t="s">
        <v>23</v>
      </c>
      <c r="H527" s="11" t="s">
        <v>24</v>
      </c>
      <c r="I527" s="11" t="s">
        <v>25</v>
      </c>
      <c r="J527" s="11" t="s">
        <v>26</v>
      </c>
      <c r="K527" s="52" t="s">
        <v>37</v>
      </c>
      <c r="L527" s="50">
        <v>46101</v>
      </c>
      <c r="M527" s="11" t="s">
        <v>37</v>
      </c>
      <c r="N527" s="11">
        <v>0</v>
      </c>
      <c r="O527" s="55">
        <f t="shared" si="10"/>
        <v>0</v>
      </c>
      <c r="P527" s="46"/>
      <c r="Q527" s="26" t="s">
        <v>37</v>
      </c>
      <c r="R527" s="26" t="s">
        <v>37</v>
      </c>
      <c r="S527" s="26" t="s">
        <v>37</v>
      </c>
      <c r="T527" s="26" t="s">
        <v>37</v>
      </c>
      <c r="U527" s="11" t="s">
        <v>37</v>
      </c>
    </row>
    <row r="528" spans="1:21" s="1" customFormat="1" ht="14.4" x14ac:dyDescent="0.3">
      <c r="A528" s="11" t="s">
        <v>637</v>
      </c>
      <c r="B528" s="11" t="s">
        <v>686</v>
      </c>
      <c r="C528" s="11" t="s">
        <v>37</v>
      </c>
      <c r="D528" s="11" t="s">
        <v>1222</v>
      </c>
      <c r="E528" s="11">
        <v>1</v>
      </c>
      <c r="F528" s="5" t="s">
        <v>1287</v>
      </c>
      <c r="G528" s="11" t="s">
        <v>23</v>
      </c>
      <c r="H528" s="11" t="s">
        <v>24</v>
      </c>
      <c r="I528" s="11" t="s">
        <v>25</v>
      </c>
      <c r="J528" s="11" t="s">
        <v>26</v>
      </c>
      <c r="K528" s="52">
        <v>41844</v>
      </c>
      <c r="L528" s="50">
        <v>46084</v>
      </c>
      <c r="M528" s="11" t="s">
        <v>1224</v>
      </c>
      <c r="N528" s="11">
        <v>266310</v>
      </c>
      <c r="O528" s="55">
        <f t="shared" si="10"/>
        <v>266310</v>
      </c>
      <c r="P528" s="11" t="s">
        <v>73</v>
      </c>
      <c r="Q528" s="5" t="s">
        <v>37</v>
      </c>
      <c r="R528" s="34">
        <v>8044464585</v>
      </c>
      <c r="S528" s="5" t="s">
        <v>1223</v>
      </c>
      <c r="T528" s="11" t="s">
        <v>643</v>
      </c>
      <c r="U528" s="11" t="s">
        <v>37</v>
      </c>
    </row>
    <row r="529" spans="1:21" s="1" customFormat="1" ht="26.4" x14ac:dyDescent="0.3">
      <c r="A529" s="11" t="s">
        <v>639</v>
      </c>
      <c r="B529" s="11" t="s">
        <v>694</v>
      </c>
      <c r="C529" s="11" t="s">
        <v>37</v>
      </c>
      <c r="D529" s="11" t="s">
        <v>1222</v>
      </c>
      <c r="E529" s="12">
        <v>1</v>
      </c>
      <c r="F529" s="5" t="s">
        <v>37</v>
      </c>
      <c r="G529" s="11" t="s">
        <v>23</v>
      </c>
      <c r="H529" s="11" t="s">
        <v>24</v>
      </c>
      <c r="I529" s="11" t="s">
        <v>25</v>
      </c>
      <c r="J529" s="11" t="s">
        <v>26</v>
      </c>
      <c r="K529" s="52" t="s">
        <v>37</v>
      </c>
      <c r="L529" s="50">
        <v>46101</v>
      </c>
      <c r="M529" s="11" t="s">
        <v>37</v>
      </c>
      <c r="N529" s="11">
        <v>0</v>
      </c>
      <c r="O529" s="55">
        <f t="shared" si="10"/>
        <v>0</v>
      </c>
      <c r="P529" s="46"/>
      <c r="Q529" s="26" t="s">
        <v>37</v>
      </c>
      <c r="R529" s="26" t="s">
        <v>37</v>
      </c>
      <c r="S529" s="26" t="s">
        <v>37</v>
      </c>
      <c r="T529" s="26" t="s">
        <v>37</v>
      </c>
      <c r="U529" s="11" t="s">
        <v>37</v>
      </c>
    </row>
    <row r="530" spans="1:21" s="1" customFormat="1" ht="14.4" x14ac:dyDescent="0.3">
      <c r="A530" s="11" t="s">
        <v>648</v>
      </c>
      <c r="B530" s="11" t="s">
        <v>681</v>
      </c>
      <c r="C530" s="11" t="s">
        <v>37</v>
      </c>
      <c r="D530" s="11" t="s">
        <v>1222</v>
      </c>
      <c r="E530" s="11">
        <v>1</v>
      </c>
      <c r="F530" s="5" t="s">
        <v>1287</v>
      </c>
      <c r="G530" s="11" t="s">
        <v>23</v>
      </c>
      <c r="H530" s="11" t="s">
        <v>24</v>
      </c>
      <c r="I530" s="11" t="s">
        <v>25</v>
      </c>
      <c r="J530" s="11" t="s">
        <v>26</v>
      </c>
      <c r="K530" s="52">
        <v>41844</v>
      </c>
      <c r="L530" s="50">
        <v>46084</v>
      </c>
      <c r="M530" s="11" t="s">
        <v>1224</v>
      </c>
      <c r="N530" s="11">
        <v>251976</v>
      </c>
      <c r="O530" s="55">
        <f t="shared" ref="O530:O561" si="11">N530*E530</f>
        <v>251976</v>
      </c>
      <c r="P530" s="11" t="s">
        <v>73</v>
      </c>
      <c r="Q530" s="5" t="s">
        <v>37</v>
      </c>
      <c r="R530" s="34">
        <v>8044464585</v>
      </c>
      <c r="S530" s="5" t="s">
        <v>1223</v>
      </c>
      <c r="T530" s="11" t="s">
        <v>643</v>
      </c>
      <c r="U530" s="11" t="s">
        <v>37</v>
      </c>
    </row>
    <row r="531" spans="1:21" s="1" customFormat="1" ht="14.4" x14ac:dyDescent="0.3">
      <c r="A531" s="11" t="s">
        <v>639</v>
      </c>
      <c r="B531" s="11" t="s">
        <v>661</v>
      </c>
      <c r="C531" s="11" t="s">
        <v>37</v>
      </c>
      <c r="D531" s="11" t="s">
        <v>1222</v>
      </c>
      <c r="E531" s="12">
        <v>1</v>
      </c>
      <c r="F531" s="5" t="s">
        <v>37</v>
      </c>
      <c r="G531" s="11" t="s">
        <v>23</v>
      </c>
      <c r="H531" s="11" t="s">
        <v>24</v>
      </c>
      <c r="I531" s="11" t="s">
        <v>25</v>
      </c>
      <c r="J531" s="11" t="s">
        <v>26</v>
      </c>
      <c r="K531" s="52" t="s">
        <v>37</v>
      </c>
      <c r="L531" s="50">
        <v>46101</v>
      </c>
      <c r="M531" s="11" t="s">
        <v>37</v>
      </c>
      <c r="N531" s="11">
        <v>0</v>
      </c>
      <c r="O531" s="55">
        <f t="shared" si="11"/>
        <v>0</v>
      </c>
      <c r="P531" s="46"/>
      <c r="Q531" s="26" t="s">
        <v>37</v>
      </c>
      <c r="R531" s="26" t="s">
        <v>37</v>
      </c>
      <c r="S531" s="26" t="s">
        <v>37</v>
      </c>
      <c r="T531" s="26" t="s">
        <v>37</v>
      </c>
      <c r="U531" s="11" t="s">
        <v>37</v>
      </c>
    </row>
    <row r="532" spans="1:21" s="1" customFormat="1" ht="14.4" x14ac:dyDescent="0.3">
      <c r="A532" s="11" t="s">
        <v>650</v>
      </c>
      <c r="B532" s="11" t="s">
        <v>651</v>
      </c>
      <c r="C532" s="11" t="s">
        <v>37</v>
      </c>
      <c r="D532" s="11" t="s">
        <v>1222</v>
      </c>
      <c r="E532" s="11">
        <v>1</v>
      </c>
      <c r="F532" s="5" t="s">
        <v>1287</v>
      </c>
      <c r="G532" s="11" t="s">
        <v>23</v>
      </c>
      <c r="H532" s="11" t="s">
        <v>24</v>
      </c>
      <c r="I532" s="11" t="s">
        <v>25</v>
      </c>
      <c r="J532" s="11" t="s">
        <v>26</v>
      </c>
      <c r="K532" s="52">
        <v>41844</v>
      </c>
      <c r="L532" s="50">
        <v>46084</v>
      </c>
      <c r="M532" s="11" t="s">
        <v>1224</v>
      </c>
      <c r="N532" s="11">
        <v>181000</v>
      </c>
      <c r="O532" s="55">
        <f t="shared" si="11"/>
        <v>181000</v>
      </c>
      <c r="P532" s="11" t="s">
        <v>73</v>
      </c>
      <c r="Q532" s="5" t="s">
        <v>37</v>
      </c>
      <c r="R532" s="34">
        <v>8044464585</v>
      </c>
      <c r="S532" s="5" t="s">
        <v>1223</v>
      </c>
      <c r="T532" s="11" t="s">
        <v>643</v>
      </c>
      <c r="U532" s="11" t="s">
        <v>37</v>
      </c>
    </row>
    <row r="533" spans="1:21" s="1" customFormat="1" ht="14.4" x14ac:dyDescent="0.3">
      <c r="A533" s="11" t="s">
        <v>639</v>
      </c>
      <c r="B533" s="11" t="s">
        <v>640</v>
      </c>
      <c r="C533" s="11" t="s">
        <v>37</v>
      </c>
      <c r="D533" s="11" t="s">
        <v>1222</v>
      </c>
      <c r="E533" s="12">
        <v>1</v>
      </c>
      <c r="F533" s="5" t="s">
        <v>37</v>
      </c>
      <c r="G533" s="11" t="s">
        <v>23</v>
      </c>
      <c r="H533" s="11" t="s">
        <v>24</v>
      </c>
      <c r="I533" s="11" t="s">
        <v>25</v>
      </c>
      <c r="J533" s="11" t="s">
        <v>26</v>
      </c>
      <c r="K533" s="52" t="s">
        <v>37</v>
      </c>
      <c r="L533" s="50">
        <v>46101</v>
      </c>
      <c r="M533" s="11" t="s">
        <v>37</v>
      </c>
      <c r="N533" s="11">
        <v>0</v>
      </c>
      <c r="O533" s="55">
        <f t="shared" si="11"/>
        <v>0</v>
      </c>
      <c r="P533" s="46"/>
      <c r="Q533" s="26" t="s">
        <v>37</v>
      </c>
      <c r="R533" s="26" t="s">
        <v>37</v>
      </c>
      <c r="S533" s="26" t="s">
        <v>37</v>
      </c>
      <c r="T533" s="26" t="s">
        <v>37</v>
      </c>
      <c r="U533" s="11" t="s">
        <v>37</v>
      </c>
    </row>
    <row r="534" spans="1:21" s="1" customFormat="1" ht="14.4" x14ac:dyDescent="0.3">
      <c r="A534" s="33" t="s">
        <v>695</v>
      </c>
      <c r="B534" s="11" t="s">
        <v>696</v>
      </c>
      <c r="C534" s="11" t="s">
        <v>37</v>
      </c>
      <c r="D534" s="11" t="s">
        <v>1222</v>
      </c>
      <c r="E534" s="11">
        <v>1</v>
      </c>
      <c r="F534" s="5" t="s">
        <v>638</v>
      </c>
      <c r="G534" s="11" t="s">
        <v>23</v>
      </c>
      <c r="H534" s="11" t="s">
        <v>24</v>
      </c>
      <c r="I534" s="11" t="s">
        <v>25</v>
      </c>
      <c r="J534" s="11" t="s">
        <v>26</v>
      </c>
      <c r="K534" s="52">
        <v>41164</v>
      </c>
      <c r="L534" s="50">
        <v>46032</v>
      </c>
      <c r="M534" s="5" t="s">
        <v>642</v>
      </c>
      <c r="N534" s="54">
        <v>44925.33</v>
      </c>
      <c r="O534" s="55">
        <f t="shared" si="11"/>
        <v>44925.33</v>
      </c>
      <c r="P534" s="11" t="s">
        <v>1170</v>
      </c>
      <c r="Q534" s="11" t="s">
        <v>37</v>
      </c>
      <c r="R534" s="11" t="s">
        <v>37</v>
      </c>
      <c r="S534" s="11" t="s">
        <v>37</v>
      </c>
      <c r="T534" s="11" t="s">
        <v>643</v>
      </c>
      <c r="U534" s="11" t="s">
        <v>37</v>
      </c>
    </row>
    <row r="535" spans="1:21" s="1" customFormat="1" ht="14.4" x14ac:dyDescent="0.3">
      <c r="A535" s="11" t="s">
        <v>646</v>
      </c>
      <c r="B535" s="11" t="s">
        <v>1225</v>
      </c>
      <c r="C535" s="11" t="s">
        <v>37</v>
      </c>
      <c r="D535" s="11" t="s">
        <v>1222</v>
      </c>
      <c r="E535" s="11">
        <v>1</v>
      </c>
      <c r="F535" s="5" t="s">
        <v>1287</v>
      </c>
      <c r="G535" s="11" t="s">
        <v>23</v>
      </c>
      <c r="H535" s="11" t="s">
        <v>24</v>
      </c>
      <c r="I535" s="11" t="s">
        <v>25</v>
      </c>
      <c r="J535" s="11" t="s">
        <v>26</v>
      </c>
      <c r="K535" s="52">
        <v>41844</v>
      </c>
      <c r="L535" s="50">
        <v>46084</v>
      </c>
      <c r="M535" s="11" t="s">
        <v>1224</v>
      </c>
      <c r="N535" s="11">
        <v>181000</v>
      </c>
      <c r="O535" s="55">
        <f t="shared" si="11"/>
        <v>181000</v>
      </c>
      <c r="P535" s="11" t="s">
        <v>73</v>
      </c>
      <c r="Q535" s="5" t="s">
        <v>37</v>
      </c>
      <c r="R535" s="34">
        <v>8044464585</v>
      </c>
      <c r="S535" s="5" t="s">
        <v>1223</v>
      </c>
      <c r="T535" s="11" t="s">
        <v>643</v>
      </c>
      <c r="U535" s="11" t="s">
        <v>37</v>
      </c>
    </row>
    <row r="536" spans="1:21" s="1" customFormat="1" ht="14.4" x14ac:dyDescent="0.3">
      <c r="A536" s="11" t="s">
        <v>639</v>
      </c>
      <c r="B536" s="11" t="s">
        <v>659</v>
      </c>
      <c r="C536" s="11" t="s">
        <v>37</v>
      </c>
      <c r="D536" s="11" t="s">
        <v>1222</v>
      </c>
      <c r="E536" s="12">
        <v>1</v>
      </c>
      <c r="F536" s="5" t="s">
        <v>37</v>
      </c>
      <c r="G536" s="11" t="s">
        <v>23</v>
      </c>
      <c r="H536" s="11" t="s">
        <v>24</v>
      </c>
      <c r="I536" s="11" t="s">
        <v>25</v>
      </c>
      <c r="J536" s="11" t="s">
        <v>26</v>
      </c>
      <c r="K536" s="52" t="s">
        <v>37</v>
      </c>
      <c r="L536" s="50">
        <v>46101</v>
      </c>
      <c r="M536" s="11" t="s">
        <v>37</v>
      </c>
      <c r="N536" s="11">
        <v>0</v>
      </c>
      <c r="O536" s="55">
        <f t="shared" si="11"/>
        <v>0</v>
      </c>
      <c r="P536" s="46"/>
      <c r="Q536" s="26" t="s">
        <v>37</v>
      </c>
      <c r="R536" s="26" t="s">
        <v>37</v>
      </c>
      <c r="S536" s="26" t="s">
        <v>37</v>
      </c>
      <c r="T536" s="26" t="s">
        <v>37</v>
      </c>
      <c r="U536" s="11" t="s">
        <v>37</v>
      </c>
    </row>
    <row r="537" spans="1:21" s="1" customFormat="1" ht="14.4" x14ac:dyDescent="0.3">
      <c r="A537" s="11" t="s">
        <v>637</v>
      </c>
      <c r="B537" s="11" t="s">
        <v>686</v>
      </c>
      <c r="C537" s="11" t="s">
        <v>37</v>
      </c>
      <c r="D537" s="11" t="s">
        <v>1222</v>
      </c>
      <c r="E537" s="11">
        <v>1</v>
      </c>
      <c r="F537" s="5" t="s">
        <v>1287</v>
      </c>
      <c r="G537" s="11" t="s">
        <v>23</v>
      </c>
      <c r="H537" s="11" t="s">
        <v>24</v>
      </c>
      <c r="I537" s="11" t="s">
        <v>25</v>
      </c>
      <c r="J537" s="11" t="s">
        <v>26</v>
      </c>
      <c r="K537" s="52">
        <v>41844</v>
      </c>
      <c r="L537" s="50">
        <v>46084</v>
      </c>
      <c r="M537" s="11" t="s">
        <v>1224</v>
      </c>
      <c r="N537" s="11">
        <v>266310</v>
      </c>
      <c r="O537" s="55">
        <f t="shared" si="11"/>
        <v>266310</v>
      </c>
      <c r="P537" s="11" t="s">
        <v>73</v>
      </c>
      <c r="Q537" s="5" t="s">
        <v>37</v>
      </c>
      <c r="R537" s="34">
        <v>8044464585</v>
      </c>
      <c r="S537" s="5" t="s">
        <v>1223</v>
      </c>
      <c r="T537" s="11" t="s">
        <v>643</v>
      </c>
      <c r="U537" s="11" t="s">
        <v>37</v>
      </c>
    </row>
    <row r="538" spans="1:21" s="1" customFormat="1" ht="26.4" x14ac:dyDescent="0.3">
      <c r="A538" s="11" t="s">
        <v>639</v>
      </c>
      <c r="B538" s="11" t="s">
        <v>697</v>
      </c>
      <c r="C538" s="11" t="s">
        <v>37</v>
      </c>
      <c r="D538" s="11" t="s">
        <v>1222</v>
      </c>
      <c r="E538" s="12">
        <v>1</v>
      </c>
      <c r="F538" s="5" t="s">
        <v>37</v>
      </c>
      <c r="G538" s="11" t="s">
        <v>23</v>
      </c>
      <c r="H538" s="11" t="s">
        <v>24</v>
      </c>
      <c r="I538" s="11" t="s">
        <v>25</v>
      </c>
      <c r="J538" s="11" t="s">
        <v>26</v>
      </c>
      <c r="K538" s="52" t="s">
        <v>37</v>
      </c>
      <c r="L538" s="50">
        <v>46101</v>
      </c>
      <c r="M538" s="11" t="s">
        <v>37</v>
      </c>
      <c r="N538" s="11">
        <v>0</v>
      </c>
      <c r="O538" s="55">
        <f t="shared" si="11"/>
        <v>0</v>
      </c>
      <c r="P538" s="46"/>
      <c r="Q538" s="26" t="s">
        <v>37</v>
      </c>
      <c r="R538" s="26" t="s">
        <v>37</v>
      </c>
      <c r="S538" s="26" t="s">
        <v>37</v>
      </c>
      <c r="T538" s="26" t="s">
        <v>37</v>
      </c>
      <c r="U538" s="11" t="s">
        <v>37</v>
      </c>
    </row>
    <row r="539" spans="1:21" s="1" customFormat="1" ht="14.4" x14ac:dyDescent="0.3">
      <c r="A539" s="11" t="s">
        <v>648</v>
      </c>
      <c r="B539" s="11" t="s">
        <v>681</v>
      </c>
      <c r="C539" s="11" t="s">
        <v>37</v>
      </c>
      <c r="D539" s="11" t="s">
        <v>1222</v>
      </c>
      <c r="E539" s="11">
        <v>1</v>
      </c>
      <c r="F539" s="5" t="s">
        <v>1287</v>
      </c>
      <c r="G539" s="11" t="s">
        <v>23</v>
      </c>
      <c r="H539" s="11" t="s">
        <v>24</v>
      </c>
      <c r="I539" s="11" t="s">
        <v>25</v>
      </c>
      <c r="J539" s="11" t="s">
        <v>26</v>
      </c>
      <c r="K539" s="52">
        <v>41844</v>
      </c>
      <c r="L539" s="50">
        <v>46084</v>
      </c>
      <c r="M539" s="11" t="s">
        <v>1224</v>
      </c>
      <c r="N539" s="11">
        <v>251976</v>
      </c>
      <c r="O539" s="55">
        <f t="shared" si="11"/>
        <v>251976</v>
      </c>
      <c r="P539" s="11" t="s">
        <v>73</v>
      </c>
      <c r="Q539" s="5" t="s">
        <v>37</v>
      </c>
      <c r="R539" s="34">
        <v>8044464585</v>
      </c>
      <c r="S539" s="5" t="s">
        <v>1223</v>
      </c>
      <c r="T539" s="11" t="s">
        <v>643</v>
      </c>
      <c r="U539" s="11" t="s">
        <v>37</v>
      </c>
    </row>
    <row r="540" spans="1:21" s="1" customFormat="1" ht="14.4" x14ac:dyDescent="0.3">
      <c r="A540" s="11" t="s">
        <v>639</v>
      </c>
      <c r="B540" s="11" t="s">
        <v>661</v>
      </c>
      <c r="C540" s="11" t="s">
        <v>37</v>
      </c>
      <c r="D540" s="11" t="s">
        <v>1222</v>
      </c>
      <c r="E540" s="12">
        <v>1</v>
      </c>
      <c r="F540" s="5" t="s">
        <v>37</v>
      </c>
      <c r="G540" s="11" t="s">
        <v>23</v>
      </c>
      <c r="H540" s="11" t="s">
        <v>24</v>
      </c>
      <c r="I540" s="11" t="s">
        <v>25</v>
      </c>
      <c r="J540" s="11" t="s">
        <v>26</v>
      </c>
      <c r="K540" s="52" t="s">
        <v>37</v>
      </c>
      <c r="L540" s="50">
        <v>46101</v>
      </c>
      <c r="M540" s="11" t="s">
        <v>37</v>
      </c>
      <c r="N540" s="11">
        <v>0</v>
      </c>
      <c r="O540" s="55">
        <f t="shared" si="11"/>
        <v>0</v>
      </c>
      <c r="P540" s="46"/>
      <c r="Q540" s="26" t="s">
        <v>37</v>
      </c>
      <c r="R540" s="26" t="s">
        <v>37</v>
      </c>
      <c r="S540" s="26" t="s">
        <v>37</v>
      </c>
      <c r="T540" s="26" t="s">
        <v>37</v>
      </c>
      <c r="U540" s="11" t="s">
        <v>37</v>
      </c>
    </row>
    <row r="541" spans="1:21" s="1" customFormat="1" ht="14.4" x14ac:dyDescent="0.3">
      <c r="A541" s="11" t="s">
        <v>650</v>
      </c>
      <c r="B541" s="11" t="s">
        <v>651</v>
      </c>
      <c r="C541" s="11" t="s">
        <v>37</v>
      </c>
      <c r="D541" s="11" t="s">
        <v>1222</v>
      </c>
      <c r="E541" s="11">
        <v>1</v>
      </c>
      <c r="F541" s="5" t="s">
        <v>1287</v>
      </c>
      <c r="G541" s="11" t="s">
        <v>23</v>
      </c>
      <c r="H541" s="11" t="s">
        <v>24</v>
      </c>
      <c r="I541" s="11" t="s">
        <v>25</v>
      </c>
      <c r="J541" s="11" t="s">
        <v>26</v>
      </c>
      <c r="K541" s="52">
        <v>41844</v>
      </c>
      <c r="L541" s="50">
        <v>46084</v>
      </c>
      <c r="M541" s="11" t="s">
        <v>1224</v>
      </c>
      <c r="N541" s="11">
        <v>181000</v>
      </c>
      <c r="O541" s="55">
        <f t="shared" si="11"/>
        <v>181000</v>
      </c>
      <c r="P541" s="11" t="s">
        <v>73</v>
      </c>
      <c r="Q541" s="5" t="s">
        <v>37</v>
      </c>
      <c r="R541" s="34">
        <v>8044464585</v>
      </c>
      <c r="S541" s="5" t="s">
        <v>1223</v>
      </c>
      <c r="T541" s="11" t="s">
        <v>643</v>
      </c>
      <c r="U541" s="11" t="s">
        <v>37</v>
      </c>
    </row>
    <row r="542" spans="1:21" s="1" customFormat="1" ht="14.4" x14ac:dyDescent="0.3">
      <c r="A542" s="11" t="s">
        <v>639</v>
      </c>
      <c r="B542" s="11" t="s">
        <v>640</v>
      </c>
      <c r="C542" s="11" t="s">
        <v>37</v>
      </c>
      <c r="D542" s="11" t="s">
        <v>1222</v>
      </c>
      <c r="E542" s="12">
        <v>1</v>
      </c>
      <c r="F542" s="5" t="s">
        <v>37</v>
      </c>
      <c r="G542" s="11" t="s">
        <v>23</v>
      </c>
      <c r="H542" s="11" t="s">
        <v>24</v>
      </c>
      <c r="I542" s="11" t="s">
        <v>25</v>
      </c>
      <c r="J542" s="11" t="s">
        <v>26</v>
      </c>
      <c r="K542" s="52" t="s">
        <v>37</v>
      </c>
      <c r="L542" s="50">
        <v>46101</v>
      </c>
      <c r="M542" s="11" t="s">
        <v>37</v>
      </c>
      <c r="N542" s="11">
        <v>0</v>
      </c>
      <c r="O542" s="55">
        <f t="shared" si="11"/>
        <v>0</v>
      </c>
      <c r="P542" s="46"/>
      <c r="Q542" s="26" t="s">
        <v>37</v>
      </c>
      <c r="R542" s="26" t="s">
        <v>37</v>
      </c>
      <c r="S542" s="26" t="s">
        <v>37</v>
      </c>
      <c r="T542" s="26" t="s">
        <v>37</v>
      </c>
      <c r="U542" s="11" t="s">
        <v>37</v>
      </c>
    </row>
    <row r="543" spans="1:21" s="1" customFormat="1" ht="26.4" x14ac:dyDescent="0.3">
      <c r="A543" s="11" t="s">
        <v>1359</v>
      </c>
      <c r="B543" s="11" t="s">
        <v>1343</v>
      </c>
      <c r="C543" s="11" t="s">
        <v>1344</v>
      </c>
      <c r="D543" s="11" t="s">
        <v>1222</v>
      </c>
      <c r="E543" s="12">
        <v>54</v>
      </c>
      <c r="F543" s="5" t="s">
        <v>1345</v>
      </c>
      <c r="G543" s="11" t="s">
        <v>23</v>
      </c>
      <c r="H543" s="11" t="s">
        <v>24</v>
      </c>
      <c r="I543" s="11" t="s">
        <v>653</v>
      </c>
      <c r="J543" s="11" t="s">
        <v>26</v>
      </c>
      <c r="K543" s="52">
        <v>43890</v>
      </c>
      <c r="L543" s="50">
        <v>46101</v>
      </c>
      <c r="M543" s="11" t="s">
        <v>1363</v>
      </c>
      <c r="N543" s="11">
        <v>72059</v>
      </c>
      <c r="O543" s="55">
        <f t="shared" si="11"/>
        <v>3891186</v>
      </c>
      <c r="P543" s="11"/>
      <c r="Q543" s="43" t="s">
        <v>1350</v>
      </c>
      <c r="R543" s="5">
        <v>9422033384</v>
      </c>
      <c r="S543" s="5" t="s">
        <v>1351</v>
      </c>
      <c r="T543" s="11" t="s">
        <v>58</v>
      </c>
      <c r="U543" s="11" t="s">
        <v>37</v>
      </c>
    </row>
    <row r="544" spans="1:21" s="1" customFormat="1" ht="14.4" x14ac:dyDescent="0.3">
      <c r="A544" s="33" t="s">
        <v>698</v>
      </c>
      <c r="B544" s="11" t="s">
        <v>699</v>
      </c>
      <c r="C544" s="11" t="s">
        <v>37</v>
      </c>
      <c r="D544" s="11" t="s">
        <v>1222</v>
      </c>
      <c r="E544" s="11">
        <v>1</v>
      </c>
      <c r="F544" s="5" t="s">
        <v>638</v>
      </c>
      <c r="G544" s="11" t="s">
        <v>23</v>
      </c>
      <c r="H544" s="11" t="s">
        <v>24</v>
      </c>
      <c r="I544" s="11" t="s">
        <v>25</v>
      </c>
      <c r="J544" s="11" t="s">
        <v>26</v>
      </c>
      <c r="K544" s="52">
        <v>41164</v>
      </c>
      <c r="L544" s="50">
        <v>46032</v>
      </c>
      <c r="M544" s="5" t="s">
        <v>642</v>
      </c>
      <c r="N544" s="54">
        <v>44925.33</v>
      </c>
      <c r="O544" s="55">
        <f t="shared" si="11"/>
        <v>44925.33</v>
      </c>
      <c r="P544" s="11" t="s">
        <v>1170</v>
      </c>
      <c r="Q544" s="11" t="s">
        <v>37</v>
      </c>
      <c r="R544" s="11" t="s">
        <v>37</v>
      </c>
      <c r="S544" s="11" t="s">
        <v>37</v>
      </c>
      <c r="T544" s="11" t="s">
        <v>643</v>
      </c>
      <c r="U544" s="11" t="s">
        <v>37</v>
      </c>
    </row>
    <row r="545" spans="1:21" s="1" customFormat="1" ht="14.4" x14ac:dyDescent="0.3">
      <c r="A545" s="11" t="s">
        <v>646</v>
      </c>
      <c r="B545" s="11" t="s">
        <v>1225</v>
      </c>
      <c r="C545" s="11" t="s">
        <v>37</v>
      </c>
      <c r="D545" s="11" t="s">
        <v>1222</v>
      </c>
      <c r="E545" s="11">
        <v>1</v>
      </c>
      <c r="F545" s="5" t="s">
        <v>1287</v>
      </c>
      <c r="G545" s="11" t="s">
        <v>23</v>
      </c>
      <c r="H545" s="11" t="s">
        <v>24</v>
      </c>
      <c r="I545" s="11" t="s">
        <v>25</v>
      </c>
      <c r="J545" s="11" t="s">
        <v>26</v>
      </c>
      <c r="K545" s="52">
        <v>41844</v>
      </c>
      <c r="L545" s="50">
        <v>46084</v>
      </c>
      <c r="M545" s="11" t="s">
        <v>1224</v>
      </c>
      <c r="N545" s="11">
        <v>181000</v>
      </c>
      <c r="O545" s="55">
        <f t="shared" si="11"/>
        <v>181000</v>
      </c>
      <c r="P545" s="11" t="s">
        <v>73</v>
      </c>
      <c r="Q545" s="5" t="s">
        <v>37</v>
      </c>
      <c r="R545" s="34">
        <v>8044464585</v>
      </c>
      <c r="S545" s="5" t="s">
        <v>1223</v>
      </c>
      <c r="T545" s="11" t="s">
        <v>643</v>
      </c>
      <c r="U545" s="11" t="s">
        <v>37</v>
      </c>
    </row>
    <row r="546" spans="1:21" s="1" customFormat="1" ht="26.4" x14ac:dyDescent="0.3">
      <c r="A546" s="11" t="s">
        <v>639</v>
      </c>
      <c r="B546" s="11" t="s">
        <v>700</v>
      </c>
      <c r="C546" s="11" t="s">
        <v>37</v>
      </c>
      <c r="D546" s="11" t="s">
        <v>1222</v>
      </c>
      <c r="E546" s="12">
        <v>1</v>
      </c>
      <c r="F546" s="5" t="s">
        <v>37</v>
      </c>
      <c r="G546" s="11" t="s">
        <v>23</v>
      </c>
      <c r="H546" s="11" t="s">
        <v>24</v>
      </c>
      <c r="I546" s="11" t="s">
        <v>25</v>
      </c>
      <c r="J546" s="11" t="s">
        <v>26</v>
      </c>
      <c r="K546" s="52" t="s">
        <v>37</v>
      </c>
      <c r="L546" s="50">
        <v>46101</v>
      </c>
      <c r="M546" s="11" t="s">
        <v>37</v>
      </c>
      <c r="N546" s="11">
        <v>0</v>
      </c>
      <c r="O546" s="55">
        <f t="shared" si="11"/>
        <v>0</v>
      </c>
      <c r="P546" s="46"/>
      <c r="Q546" s="26" t="s">
        <v>37</v>
      </c>
      <c r="R546" s="26" t="s">
        <v>37</v>
      </c>
      <c r="S546" s="26" t="s">
        <v>37</v>
      </c>
      <c r="T546" s="26" t="s">
        <v>37</v>
      </c>
      <c r="U546" s="11" t="s">
        <v>37</v>
      </c>
    </row>
    <row r="547" spans="1:21" s="1" customFormat="1" ht="14.4" x14ac:dyDescent="0.3">
      <c r="A547" s="11" t="s">
        <v>637</v>
      </c>
      <c r="B547" s="11" t="s">
        <v>686</v>
      </c>
      <c r="C547" s="11" t="s">
        <v>37</v>
      </c>
      <c r="D547" s="11" t="s">
        <v>1222</v>
      </c>
      <c r="E547" s="11">
        <v>1</v>
      </c>
      <c r="F547" s="5" t="s">
        <v>1287</v>
      </c>
      <c r="G547" s="11" t="s">
        <v>23</v>
      </c>
      <c r="H547" s="11" t="s">
        <v>24</v>
      </c>
      <c r="I547" s="11" t="s">
        <v>25</v>
      </c>
      <c r="J547" s="11" t="s">
        <v>26</v>
      </c>
      <c r="K547" s="52">
        <v>41844</v>
      </c>
      <c r="L547" s="50">
        <v>46084</v>
      </c>
      <c r="M547" s="11" t="s">
        <v>1224</v>
      </c>
      <c r="N547" s="11">
        <v>266310</v>
      </c>
      <c r="O547" s="55">
        <f t="shared" si="11"/>
        <v>266310</v>
      </c>
      <c r="P547" s="11" t="s">
        <v>73</v>
      </c>
      <c r="Q547" s="5" t="s">
        <v>37</v>
      </c>
      <c r="R547" s="34">
        <v>8044464585</v>
      </c>
      <c r="S547" s="5" t="s">
        <v>1223</v>
      </c>
      <c r="T547" s="11" t="s">
        <v>643</v>
      </c>
      <c r="U547" s="11" t="s">
        <v>37</v>
      </c>
    </row>
    <row r="548" spans="1:21" s="1" customFormat="1" ht="14.4" x14ac:dyDescent="0.3">
      <c r="A548" s="11" t="s">
        <v>648</v>
      </c>
      <c r="B548" s="11" t="s">
        <v>681</v>
      </c>
      <c r="C548" s="11" t="s">
        <v>37</v>
      </c>
      <c r="D548" s="11" t="s">
        <v>1222</v>
      </c>
      <c r="E548" s="11">
        <v>1</v>
      </c>
      <c r="F548" s="5" t="s">
        <v>1287</v>
      </c>
      <c r="G548" s="11" t="s">
        <v>23</v>
      </c>
      <c r="H548" s="11" t="s">
        <v>24</v>
      </c>
      <c r="I548" s="11" t="s">
        <v>25</v>
      </c>
      <c r="J548" s="11" t="s">
        <v>26</v>
      </c>
      <c r="K548" s="52">
        <v>41844</v>
      </c>
      <c r="L548" s="50">
        <v>46084</v>
      </c>
      <c r="M548" s="11" t="s">
        <v>1224</v>
      </c>
      <c r="N548" s="11">
        <v>251976</v>
      </c>
      <c r="O548" s="55">
        <f t="shared" si="11"/>
        <v>251976</v>
      </c>
      <c r="P548" s="11" t="s">
        <v>73</v>
      </c>
      <c r="Q548" s="5" t="s">
        <v>37</v>
      </c>
      <c r="R548" s="34">
        <v>8044464585</v>
      </c>
      <c r="S548" s="5" t="s">
        <v>1223</v>
      </c>
      <c r="T548" s="11" t="s">
        <v>643</v>
      </c>
      <c r="U548" s="11" t="s">
        <v>37</v>
      </c>
    </row>
    <row r="549" spans="1:21" s="1" customFormat="1" ht="14.4" x14ac:dyDescent="0.3">
      <c r="A549" s="11" t="s">
        <v>639</v>
      </c>
      <c r="B549" s="11" t="s">
        <v>661</v>
      </c>
      <c r="C549" s="11" t="s">
        <v>37</v>
      </c>
      <c r="D549" s="11" t="s">
        <v>1222</v>
      </c>
      <c r="E549" s="12">
        <v>1</v>
      </c>
      <c r="F549" s="5" t="s">
        <v>37</v>
      </c>
      <c r="G549" s="11" t="s">
        <v>23</v>
      </c>
      <c r="H549" s="11" t="s">
        <v>24</v>
      </c>
      <c r="I549" s="11" t="s">
        <v>25</v>
      </c>
      <c r="J549" s="11" t="s">
        <v>26</v>
      </c>
      <c r="K549" s="52" t="s">
        <v>37</v>
      </c>
      <c r="L549" s="50">
        <v>46101</v>
      </c>
      <c r="M549" s="11" t="s">
        <v>37</v>
      </c>
      <c r="N549" s="11">
        <v>0</v>
      </c>
      <c r="O549" s="55">
        <f t="shared" si="11"/>
        <v>0</v>
      </c>
      <c r="P549" s="46"/>
      <c r="Q549" s="26" t="s">
        <v>37</v>
      </c>
      <c r="R549" s="26" t="s">
        <v>37</v>
      </c>
      <c r="S549" s="26" t="s">
        <v>37</v>
      </c>
      <c r="T549" s="26" t="s">
        <v>37</v>
      </c>
      <c r="U549" s="11" t="s">
        <v>37</v>
      </c>
    </row>
    <row r="550" spans="1:21" s="1" customFormat="1" ht="14.4" x14ac:dyDescent="0.3">
      <c r="A550" s="11" t="s">
        <v>650</v>
      </c>
      <c r="B550" s="11" t="s">
        <v>651</v>
      </c>
      <c r="C550" s="11" t="s">
        <v>37</v>
      </c>
      <c r="D550" s="11" t="s">
        <v>1222</v>
      </c>
      <c r="E550" s="11">
        <v>1</v>
      </c>
      <c r="F550" s="5" t="s">
        <v>1287</v>
      </c>
      <c r="G550" s="11" t="s">
        <v>23</v>
      </c>
      <c r="H550" s="11" t="s">
        <v>24</v>
      </c>
      <c r="I550" s="11" t="s">
        <v>25</v>
      </c>
      <c r="J550" s="11" t="s">
        <v>26</v>
      </c>
      <c r="K550" s="52">
        <v>41844</v>
      </c>
      <c r="L550" s="50">
        <v>46084</v>
      </c>
      <c r="M550" s="11" t="s">
        <v>1224</v>
      </c>
      <c r="N550" s="11">
        <v>181000</v>
      </c>
      <c r="O550" s="55">
        <f t="shared" si="11"/>
        <v>181000</v>
      </c>
      <c r="P550" s="11" t="s">
        <v>73</v>
      </c>
      <c r="Q550" s="5" t="s">
        <v>37</v>
      </c>
      <c r="R550" s="34">
        <v>8044464585</v>
      </c>
      <c r="S550" s="5" t="s">
        <v>1223</v>
      </c>
      <c r="T550" s="11" t="s">
        <v>643</v>
      </c>
      <c r="U550" s="11" t="s">
        <v>37</v>
      </c>
    </row>
    <row r="551" spans="1:21" s="1" customFormat="1" ht="26.4" x14ac:dyDescent="0.3">
      <c r="A551" s="11" t="s">
        <v>639</v>
      </c>
      <c r="B551" s="11" t="s">
        <v>701</v>
      </c>
      <c r="C551" s="11" t="s">
        <v>37</v>
      </c>
      <c r="D551" s="11" t="s">
        <v>1222</v>
      </c>
      <c r="E551" s="12">
        <v>1</v>
      </c>
      <c r="F551" s="5" t="s">
        <v>37</v>
      </c>
      <c r="G551" s="11" t="s">
        <v>23</v>
      </c>
      <c r="H551" s="11" t="s">
        <v>24</v>
      </c>
      <c r="I551" s="11" t="s">
        <v>25</v>
      </c>
      <c r="J551" s="11" t="s">
        <v>26</v>
      </c>
      <c r="K551" s="52" t="s">
        <v>37</v>
      </c>
      <c r="L551" s="50">
        <v>46101</v>
      </c>
      <c r="M551" s="11" t="s">
        <v>37</v>
      </c>
      <c r="N551" s="11">
        <v>0</v>
      </c>
      <c r="O551" s="55">
        <f t="shared" si="11"/>
        <v>0</v>
      </c>
      <c r="P551" s="46"/>
      <c r="Q551" s="26" t="s">
        <v>37</v>
      </c>
      <c r="R551" s="26" t="s">
        <v>37</v>
      </c>
      <c r="S551" s="26" t="s">
        <v>37</v>
      </c>
      <c r="T551" s="26" t="s">
        <v>37</v>
      </c>
      <c r="U551" s="11" t="s">
        <v>37</v>
      </c>
    </row>
    <row r="552" spans="1:21" s="1" customFormat="1" ht="26.4" x14ac:dyDescent="0.3">
      <c r="A552" s="11" t="s">
        <v>1360</v>
      </c>
      <c r="B552" s="11" t="s">
        <v>1343</v>
      </c>
      <c r="C552" s="11" t="s">
        <v>1344</v>
      </c>
      <c r="D552" s="11" t="s">
        <v>1222</v>
      </c>
      <c r="E552" s="12">
        <v>54</v>
      </c>
      <c r="F552" s="5" t="s">
        <v>1345</v>
      </c>
      <c r="G552" s="11" t="s">
        <v>23</v>
      </c>
      <c r="H552" s="11" t="s">
        <v>24</v>
      </c>
      <c r="I552" s="11" t="s">
        <v>653</v>
      </c>
      <c r="J552" s="11" t="s">
        <v>26</v>
      </c>
      <c r="K552" s="52">
        <v>43890</v>
      </c>
      <c r="L552" s="50">
        <v>46101</v>
      </c>
      <c r="M552" s="11" t="s">
        <v>1363</v>
      </c>
      <c r="N552" s="11">
        <v>72059</v>
      </c>
      <c r="O552" s="55">
        <f t="shared" si="11"/>
        <v>3891186</v>
      </c>
      <c r="P552" s="11"/>
      <c r="Q552" s="43" t="s">
        <v>1350</v>
      </c>
      <c r="R552" s="5">
        <v>9422033384</v>
      </c>
      <c r="S552" s="5" t="s">
        <v>1351</v>
      </c>
      <c r="T552" s="11" t="s">
        <v>58</v>
      </c>
      <c r="U552" s="11" t="s">
        <v>37</v>
      </c>
    </row>
    <row r="553" spans="1:21" s="1" customFormat="1" ht="14.4" x14ac:dyDescent="0.3">
      <c r="A553" s="33" t="s">
        <v>702</v>
      </c>
      <c r="B553" s="11" t="s">
        <v>703</v>
      </c>
      <c r="C553" s="11" t="s">
        <v>37</v>
      </c>
      <c r="D553" s="11" t="s">
        <v>1222</v>
      </c>
      <c r="E553" s="11">
        <v>1</v>
      </c>
      <c r="F553" s="5" t="s">
        <v>638</v>
      </c>
      <c r="G553" s="11" t="s">
        <v>23</v>
      </c>
      <c r="H553" s="11" t="s">
        <v>24</v>
      </c>
      <c r="I553" s="11" t="s">
        <v>25</v>
      </c>
      <c r="J553" s="11" t="s">
        <v>26</v>
      </c>
      <c r="K553" s="52">
        <v>41164</v>
      </c>
      <c r="L553" s="50">
        <v>46032</v>
      </c>
      <c r="M553" s="5" t="s">
        <v>642</v>
      </c>
      <c r="N553" s="54">
        <v>44925.33</v>
      </c>
      <c r="O553" s="55">
        <f t="shared" si="11"/>
        <v>44925.33</v>
      </c>
      <c r="P553" s="11" t="s">
        <v>1170</v>
      </c>
      <c r="Q553" s="11" t="s">
        <v>37</v>
      </c>
      <c r="R553" s="11" t="s">
        <v>37</v>
      </c>
      <c r="S553" s="11" t="s">
        <v>37</v>
      </c>
      <c r="T553" s="11" t="s">
        <v>643</v>
      </c>
      <c r="U553" s="11" t="s">
        <v>37</v>
      </c>
    </row>
    <row r="554" spans="1:21" s="1" customFormat="1" ht="14.4" x14ac:dyDescent="0.3">
      <c r="A554" s="11" t="s">
        <v>646</v>
      </c>
      <c r="B554" s="11" t="s">
        <v>1225</v>
      </c>
      <c r="C554" s="11" t="s">
        <v>37</v>
      </c>
      <c r="D554" s="11" t="s">
        <v>1222</v>
      </c>
      <c r="E554" s="11">
        <v>1</v>
      </c>
      <c r="F554" s="5" t="s">
        <v>1287</v>
      </c>
      <c r="G554" s="11" t="s">
        <v>23</v>
      </c>
      <c r="H554" s="11" t="s">
        <v>24</v>
      </c>
      <c r="I554" s="11" t="s">
        <v>25</v>
      </c>
      <c r="J554" s="11" t="s">
        <v>26</v>
      </c>
      <c r="K554" s="52">
        <v>41844</v>
      </c>
      <c r="L554" s="50">
        <v>46084</v>
      </c>
      <c r="M554" s="11" t="s">
        <v>1224</v>
      </c>
      <c r="N554" s="11">
        <v>181000</v>
      </c>
      <c r="O554" s="55">
        <f t="shared" si="11"/>
        <v>181000</v>
      </c>
      <c r="P554" s="11" t="s">
        <v>73</v>
      </c>
      <c r="Q554" s="5" t="s">
        <v>37</v>
      </c>
      <c r="R554" s="34">
        <v>8044464585</v>
      </c>
      <c r="S554" s="5" t="s">
        <v>1223</v>
      </c>
      <c r="T554" s="11" t="s">
        <v>643</v>
      </c>
      <c r="U554" s="11" t="s">
        <v>37</v>
      </c>
    </row>
    <row r="555" spans="1:21" s="1" customFormat="1" ht="26.4" x14ac:dyDescent="0.3">
      <c r="A555" s="11" t="s">
        <v>639</v>
      </c>
      <c r="B555" s="11" t="s">
        <v>704</v>
      </c>
      <c r="C555" s="11" t="s">
        <v>185</v>
      </c>
      <c r="D555" s="11" t="s">
        <v>1222</v>
      </c>
      <c r="E555" s="12">
        <v>1</v>
      </c>
      <c r="F555" s="5" t="s">
        <v>37</v>
      </c>
      <c r="G555" s="11" t="s">
        <v>23</v>
      </c>
      <c r="H555" s="11" t="s">
        <v>24</v>
      </c>
      <c r="I555" s="11" t="s">
        <v>25</v>
      </c>
      <c r="J555" s="11" t="s">
        <v>26</v>
      </c>
      <c r="K555" s="52" t="s">
        <v>37</v>
      </c>
      <c r="L555" s="50">
        <v>46101</v>
      </c>
      <c r="M555" s="11" t="s">
        <v>37</v>
      </c>
      <c r="N555" s="11">
        <v>0</v>
      </c>
      <c r="O555" s="55">
        <f t="shared" si="11"/>
        <v>0</v>
      </c>
      <c r="P555" s="46"/>
      <c r="Q555" s="26" t="s">
        <v>37</v>
      </c>
      <c r="R555" s="26" t="s">
        <v>37</v>
      </c>
      <c r="S555" s="26" t="s">
        <v>37</v>
      </c>
      <c r="T555" s="26" t="s">
        <v>37</v>
      </c>
      <c r="U555" s="11" t="s">
        <v>37</v>
      </c>
    </row>
    <row r="556" spans="1:21" s="1" customFormat="1" ht="14.4" x14ac:dyDescent="0.3">
      <c r="A556" s="11" t="s">
        <v>637</v>
      </c>
      <c r="B556" s="11" t="s">
        <v>686</v>
      </c>
      <c r="C556" s="11" t="s">
        <v>37</v>
      </c>
      <c r="D556" s="11" t="s">
        <v>1222</v>
      </c>
      <c r="E556" s="11">
        <v>1</v>
      </c>
      <c r="F556" s="5" t="s">
        <v>1287</v>
      </c>
      <c r="G556" s="11" t="s">
        <v>23</v>
      </c>
      <c r="H556" s="11" t="s">
        <v>24</v>
      </c>
      <c r="I556" s="11" t="s">
        <v>25</v>
      </c>
      <c r="J556" s="11" t="s">
        <v>26</v>
      </c>
      <c r="K556" s="52">
        <v>41844</v>
      </c>
      <c r="L556" s="50">
        <v>46084</v>
      </c>
      <c r="M556" s="11" t="s">
        <v>1224</v>
      </c>
      <c r="N556" s="11">
        <v>266310</v>
      </c>
      <c r="O556" s="55">
        <f t="shared" si="11"/>
        <v>266310</v>
      </c>
      <c r="P556" s="11" t="s">
        <v>73</v>
      </c>
      <c r="Q556" s="5" t="s">
        <v>37</v>
      </c>
      <c r="R556" s="34">
        <v>8044464585</v>
      </c>
      <c r="S556" s="5" t="s">
        <v>1223</v>
      </c>
      <c r="T556" s="11" t="s">
        <v>643</v>
      </c>
      <c r="U556" s="11" t="s">
        <v>37</v>
      </c>
    </row>
    <row r="557" spans="1:21" s="1" customFormat="1" ht="26.4" x14ac:dyDescent="0.3">
      <c r="A557" s="11" t="s">
        <v>639</v>
      </c>
      <c r="B557" s="11" t="s">
        <v>705</v>
      </c>
      <c r="C557" s="11" t="s">
        <v>37</v>
      </c>
      <c r="D557" s="11" t="s">
        <v>1222</v>
      </c>
      <c r="E557" s="12">
        <v>1</v>
      </c>
      <c r="F557" s="5" t="s">
        <v>37</v>
      </c>
      <c r="G557" s="11" t="s">
        <v>23</v>
      </c>
      <c r="H557" s="11" t="s">
        <v>24</v>
      </c>
      <c r="I557" s="11" t="s">
        <v>25</v>
      </c>
      <c r="J557" s="11" t="s">
        <v>26</v>
      </c>
      <c r="K557" s="52" t="s">
        <v>37</v>
      </c>
      <c r="L557" s="50">
        <v>46101</v>
      </c>
      <c r="M557" s="11" t="s">
        <v>37</v>
      </c>
      <c r="N557" s="11">
        <v>0</v>
      </c>
      <c r="O557" s="55">
        <f t="shared" si="11"/>
        <v>0</v>
      </c>
      <c r="P557" s="46"/>
      <c r="Q557" s="26" t="s">
        <v>37</v>
      </c>
      <c r="R557" s="26" t="s">
        <v>37</v>
      </c>
      <c r="S557" s="26" t="s">
        <v>37</v>
      </c>
      <c r="T557" s="26" t="s">
        <v>37</v>
      </c>
      <c r="U557" s="11" t="s">
        <v>37</v>
      </c>
    </row>
    <row r="558" spans="1:21" s="1" customFormat="1" ht="26.4" x14ac:dyDescent="0.3">
      <c r="A558" s="11" t="s">
        <v>639</v>
      </c>
      <c r="B558" s="11" t="s">
        <v>706</v>
      </c>
      <c r="C558" s="11" t="s">
        <v>37</v>
      </c>
      <c r="D558" s="11" t="s">
        <v>1222</v>
      </c>
      <c r="E558" s="12">
        <v>1</v>
      </c>
      <c r="F558" s="5" t="s">
        <v>37</v>
      </c>
      <c r="G558" s="11" t="s">
        <v>23</v>
      </c>
      <c r="H558" s="11" t="s">
        <v>24</v>
      </c>
      <c r="I558" s="11" t="s">
        <v>25</v>
      </c>
      <c r="J558" s="11" t="s">
        <v>26</v>
      </c>
      <c r="K558" s="52" t="s">
        <v>37</v>
      </c>
      <c r="L558" s="50">
        <v>46101</v>
      </c>
      <c r="M558" s="11" t="s">
        <v>37</v>
      </c>
      <c r="N558" s="11">
        <v>0</v>
      </c>
      <c r="O558" s="55">
        <f t="shared" si="11"/>
        <v>0</v>
      </c>
      <c r="P558" s="46"/>
      <c r="Q558" s="26" t="s">
        <v>37</v>
      </c>
      <c r="R558" s="26" t="s">
        <v>37</v>
      </c>
      <c r="S558" s="26" t="s">
        <v>37</v>
      </c>
      <c r="T558" s="26" t="s">
        <v>37</v>
      </c>
      <c r="U558" s="11" t="s">
        <v>37</v>
      </c>
    </row>
    <row r="559" spans="1:21" s="1" customFormat="1" ht="26.4" x14ac:dyDescent="0.3">
      <c r="A559" s="11" t="s">
        <v>639</v>
      </c>
      <c r="B559" s="11" t="s">
        <v>707</v>
      </c>
      <c r="C559" s="11" t="s">
        <v>37</v>
      </c>
      <c r="D559" s="11" t="s">
        <v>1222</v>
      </c>
      <c r="E559" s="12">
        <v>1</v>
      </c>
      <c r="F559" s="5" t="s">
        <v>37</v>
      </c>
      <c r="G559" s="11" t="s">
        <v>23</v>
      </c>
      <c r="H559" s="11" t="s">
        <v>24</v>
      </c>
      <c r="I559" s="11" t="s">
        <v>25</v>
      </c>
      <c r="J559" s="11" t="s">
        <v>26</v>
      </c>
      <c r="K559" s="52" t="s">
        <v>37</v>
      </c>
      <c r="L559" s="50">
        <v>46101</v>
      </c>
      <c r="M559" s="11" t="s">
        <v>37</v>
      </c>
      <c r="N559" s="11">
        <v>0</v>
      </c>
      <c r="O559" s="55">
        <f t="shared" si="11"/>
        <v>0</v>
      </c>
      <c r="P559" s="46"/>
      <c r="Q559" s="26" t="s">
        <v>37</v>
      </c>
      <c r="R559" s="26" t="s">
        <v>37</v>
      </c>
      <c r="S559" s="26" t="s">
        <v>37</v>
      </c>
      <c r="T559" s="26" t="s">
        <v>37</v>
      </c>
      <c r="U559" s="11" t="s">
        <v>37</v>
      </c>
    </row>
    <row r="560" spans="1:21" s="1" customFormat="1" ht="14.4" x14ac:dyDescent="0.3">
      <c r="A560" s="11" t="s">
        <v>639</v>
      </c>
      <c r="B560" s="11" t="s">
        <v>708</v>
      </c>
      <c r="C560" s="11" t="s">
        <v>37</v>
      </c>
      <c r="D560" s="11" t="s">
        <v>1222</v>
      </c>
      <c r="E560" s="12">
        <v>1</v>
      </c>
      <c r="F560" s="5" t="s">
        <v>37</v>
      </c>
      <c r="G560" s="11" t="s">
        <v>23</v>
      </c>
      <c r="H560" s="11" t="s">
        <v>24</v>
      </c>
      <c r="I560" s="11" t="s">
        <v>25</v>
      </c>
      <c r="J560" s="11" t="s">
        <v>26</v>
      </c>
      <c r="K560" s="52" t="s">
        <v>37</v>
      </c>
      <c r="L560" s="50">
        <v>46101</v>
      </c>
      <c r="M560" s="11" t="s">
        <v>37</v>
      </c>
      <c r="N560" s="11">
        <v>0</v>
      </c>
      <c r="O560" s="55">
        <f t="shared" si="11"/>
        <v>0</v>
      </c>
      <c r="P560" s="46"/>
      <c r="Q560" s="26" t="s">
        <v>37</v>
      </c>
      <c r="R560" s="26" t="s">
        <v>37</v>
      </c>
      <c r="S560" s="26" t="s">
        <v>37</v>
      </c>
      <c r="T560" s="26" t="s">
        <v>37</v>
      </c>
      <c r="U560" s="11" t="s">
        <v>37</v>
      </c>
    </row>
    <row r="561" spans="1:21" s="1" customFormat="1" ht="14.4" x14ac:dyDescent="0.3">
      <c r="A561" s="11" t="s">
        <v>648</v>
      </c>
      <c r="B561" s="11" t="s">
        <v>681</v>
      </c>
      <c r="C561" s="11" t="s">
        <v>37</v>
      </c>
      <c r="D561" s="11" t="s">
        <v>1222</v>
      </c>
      <c r="E561" s="11">
        <v>1</v>
      </c>
      <c r="F561" s="5" t="s">
        <v>1287</v>
      </c>
      <c r="G561" s="11" t="s">
        <v>23</v>
      </c>
      <c r="H561" s="11" t="s">
        <v>24</v>
      </c>
      <c r="I561" s="11" t="s">
        <v>25</v>
      </c>
      <c r="J561" s="11" t="s">
        <v>26</v>
      </c>
      <c r="K561" s="52">
        <v>41844</v>
      </c>
      <c r="L561" s="50">
        <v>46084</v>
      </c>
      <c r="M561" s="11" t="s">
        <v>1224</v>
      </c>
      <c r="N561" s="11">
        <v>251976</v>
      </c>
      <c r="O561" s="55">
        <f t="shared" si="11"/>
        <v>251976</v>
      </c>
      <c r="P561" s="11" t="s">
        <v>73</v>
      </c>
      <c r="Q561" s="5" t="s">
        <v>37</v>
      </c>
      <c r="R561" s="34">
        <v>8044464585</v>
      </c>
      <c r="S561" s="5" t="s">
        <v>1223</v>
      </c>
      <c r="T561" s="11" t="s">
        <v>643</v>
      </c>
      <c r="U561" s="11" t="s">
        <v>37</v>
      </c>
    </row>
    <row r="562" spans="1:21" s="1" customFormat="1" ht="26.4" x14ac:dyDescent="0.3">
      <c r="A562" s="11" t="s">
        <v>639</v>
      </c>
      <c r="B562" s="11" t="s">
        <v>709</v>
      </c>
      <c r="C562" s="11" t="s">
        <v>37</v>
      </c>
      <c r="D562" s="11" t="s">
        <v>1222</v>
      </c>
      <c r="E562" s="12">
        <v>1</v>
      </c>
      <c r="F562" s="5" t="s">
        <v>37</v>
      </c>
      <c r="G562" s="11" t="s">
        <v>23</v>
      </c>
      <c r="H562" s="11" t="s">
        <v>24</v>
      </c>
      <c r="I562" s="11" t="s">
        <v>25</v>
      </c>
      <c r="J562" s="11" t="s">
        <v>26</v>
      </c>
      <c r="K562" s="52" t="s">
        <v>37</v>
      </c>
      <c r="L562" s="50">
        <v>46101</v>
      </c>
      <c r="M562" s="11" t="s">
        <v>37</v>
      </c>
      <c r="N562" s="11">
        <v>0</v>
      </c>
      <c r="O562" s="55">
        <f t="shared" ref="O562:O593" si="12">N562*E562</f>
        <v>0</v>
      </c>
      <c r="P562" s="46"/>
      <c r="Q562" s="26" t="s">
        <v>37</v>
      </c>
      <c r="R562" s="26" t="s">
        <v>37</v>
      </c>
      <c r="S562" s="26" t="s">
        <v>37</v>
      </c>
      <c r="T562" s="26" t="s">
        <v>37</v>
      </c>
      <c r="U562" s="11" t="s">
        <v>37</v>
      </c>
    </row>
    <row r="563" spans="1:21" s="1" customFormat="1" ht="14.4" x14ac:dyDescent="0.3">
      <c r="A563" s="11" t="s">
        <v>650</v>
      </c>
      <c r="B563" s="11" t="s">
        <v>651</v>
      </c>
      <c r="C563" s="11" t="s">
        <v>37</v>
      </c>
      <c r="D563" s="11" t="s">
        <v>1222</v>
      </c>
      <c r="E563" s="11">
        <v>1</v>
      </c>
      <c r="F563" s="5" t="s">
        <v>1287</v>
      </c>
      <c r="G563" s="11" t="s">
        <v>23</v>
      </c>
      <c r="H563" s="11" t="s">
        <v>24</v>
      </c>
      <c r="I563" s="11" t="s">
        <v>25</v>
      </c>
      <c r="J563" s="11" t="s">
        <v>26</v>
      </c>
      <c r="K563" s="52">
        <v>41844</v>
      </c>
      <c r="L563" s="50">
        <v>46084</v>
      </c>
      <c r="M563" s="11" t="s">
        <v>1224</v>
      </c>
      <c r="N563" s="11">
        <v>181000</v>
      </c>
      <c r="O563" s="55">
        <f t="shared" si="12"/>
        <v>181000</v>
      </c>
      <c r="P563" s="11" t="s">
        <v>73</v>
      </c>
      <c r="Q563" s="5" t="s">
        <v>37</v>
      </c>
      <c r="R563" s="34">
        <v>8044464585</v>
      </c>
      <c r="S563" s="5" t="s">
        <v>1223</v>
      </c>
      <c r="T563" s="11" t="s">
        <v>643</v>
      </c>
      <c r="U563" s="11" t="s">
        <v>37</v>
      </c>
    </row>
    <row r="564" spans="1:21" s="1" customFormat="1" ht="14.4" x14ac:dyDescent="0.3">
      <c r="A564" s="11" t="s">
        <v>639</v>
      </c>
      <c r="B564" s="11" t="s">
        <v>640</v>
      </c>
      <c r="C564" s="11" t="s">
        <v>37</v>
      </c>
      <c r="D564" s="11" t="s">
        <v>1222</v>
      </c>
      <c r="E564" s="12">
        <v>1</v>
      </c>
      <c r="F564" s="5" t="s">
        <v>37</v>
      </c>
      <c r="G564" s="11" t="s">
        <v>23</v>
      </c>
      <c r="H564" s="11" t="s">
        <v>24</v>
      </c>
      <c r="I564" s="11" t="s">
        <v>25</v>
      </c>
      <c r="J564" s="11" t="s">
        <v>26</v>
      </c>
      <c r="K564" s="52" t="s">
        <v>37</v>
      </c>
      <c r="L564" s="50">
        <v>46101</v>
      </c>
      <c r="M564" s="11" t="s">
        <v>37</v>
      </c>
      <c r="N564" s="11">
        <v>0</v>
      </c>
      <c r="O564" s="55">
        <f t="shared" si="12"/>
        <v>0</v>
      </c>
      <c r="P564" s="46"/>
      <c r="Q564" s="26" t="s">
        <v>37</v>
      </c>
      <c r="R564" s="26" t="s">
        <v>37</v>
      </c>
      <c r="S564" s="26" t="s">
        <v>37</v>
      </c>
      <c r="T564" s="26" t="s">
        <v>37</v>
      </c>
      <c r="U564" s="11" t="s">
        <v>37</v>
      </c>
    </row>
    <row r="565" spans="1:21" s="1" customFormat="1" ht="14.4" x14ac:dyDescent="0.3">
      <c r="A565" s="11" t="s">
        <v>639</v>
      </c>
      <c r="B565" s="11" t="s">
        <v>710</v>
      </c>
      <c r="C565" s="11" t="s">
        <v>37</v>
      </c>
      <c r="D565" s="11" t="s">
        <v>1222</v>
      </c>
      <c r="E565" s="12">
        <v>1</v>
      </c>
      <c r="F565" s="5" t="s">
        <v>37</v>
      </c>
      <c r="G565" s="11" t="s">
        <v>23</v>
      </c>
      <c r="H565" s="11" t="s">
        <v>24</v>
      </c>
      <c r="I565" s="11" t="s">
        <v>25</v>
      </c>
      <c r="J565" s="11" t="s">
        <v>26</v>
      </c>
      <c r="K565" s="52" t="s">
        <v>37</v>
      </c>
      <c r="L565" s="50">
        <v>46101</v>
      </c>
      <c r="M565" s="11" t="s">
        <v>37</v>
      </c>
      <c r="N565" s="11">
        <v>0</v>
      </c>
      <c r="O565" s="55">
        <f t="shared" si="12"/>
        <v>0</v>
      </c>
      <c r="P565" s="46"/>
      <c r="Q565" s="26" t="s">
        <v>37</v>
      </c>
      <c r="R565" s="26" t="s">
        <v>37</v>
      </c>
      <c r="S565" s="26" t="s">
        <v>37</v>
      </c>
      <c r="T565" s="26" t="s">
        <v>37</v>
      </c>
      <c r="U565" s="11" t="s">
        <v>37</v>
      </c>
    </row>
    <row r="566" spans="1:21" s="1" customFormat="1" ht="14.4" x14ac:dyDescent="0.3">
      <c r="A566" s="11" t="s">
        <v>639</v>
      </c>
      <c r="B566" s="11" t="s">
        <v>711</v>
      </c>
      <c r="C566" s="11" t="s">
        <v>37</v>
      </c>
      <c r="D566" s="11" t="s">
        <v>1222</v>
      </c>
      <c r="E566" s="12">
        <v>1</v>
      </c>
      <c r="F566" s="5" t="s">
        <v>37</v>
      </c>
      <c r="G566" s="11" t="s">
        <v>23</v>
      </c>
      <c r="H566" s="11" t="s">
        <v>24</v>
      </c>
      <c r="I566" s="11" t="s">
        <v>25</v>
      </c>
      <c r="J566" s="11" t="s">
        <v>26</v>
      </c>
      <c r="K566" s="52" t="s">
        <v>37</v>
      </c>
      <c r="L566" s="50">
        <v>46101</v>
      </c>
      <c r="M566" s="11" t="s">
        <v>37</v>
      </c>
      <c r="N566" s="11">
        <v>0</v>
      </c>
      <c r="O566" s="55">
        <f t="shared" si="12"/>
        <v>0</v>
      </c>
      <c r="P566" s="46"/>
      <c r="Q566" s="26" t="s">
        <v>37</v>
      </c>
      <c r="R566" s="26" t="s">
        <v>37</v>
      </c>
      <c r="S566" s="26" t="s">
        <v>37</v>
      </c>
      <c r="T566" s="26" t="s">
        <v>37</v>
      </c>
      <c r="U566" s="11" t="s">
        <v>37</v>
      </c>
    </row>
    <row r="567" spans="1:21" s="1" customFormat="1" ht="14.4" x14ac:dyDescent="0.3">
      <c r="A567" s="11" t="s">
        <v>639</v>
      </c>
      <c r="B567" s="11" t="s">
        <v>712</v>
      </c>
      <c r="C567" s="11" t="s">
        <v>37</v>
      </c>
      <c r="D567" s="11" t="s">
        <v>1222</v>
      </c>
      <c r="E567" s="12">
        <v>1</v>
      </c>
      <c r="F567" s="5" t="s">
        <v>37</v>
      </c>
      <c r="G567" s="11" t="s">
        <v>23</v>
      </c>
      <c r="H567" s="11" t="s">
        <v>24</v>
      </c>
      <c r="I567" s="11" t="s">
        <v>25</v>
      </c>
      <c r="J567" s="11" t="s">
        <v>26</v>
      </c>
      <c r="K567" s="52" t="s">
        <v>37</v>
      </c>
      <c r="L567" s="50">
        <v>46101</v>
      </c>
      <c r="M567" s="11" t="s">
        <v>37</v>
      </c>
      <c r="N567" s="11">
        <v>0</v>
      </c>
      <c r="O567" s="55">
        <f t="shared" si="12"/>
        <v>0</v>
      </c>
      <c r="P567" s="46"/>
      <c r="Q567" s="26" t="s">
        <v>37</v>
      </c>
      <c r="R567" s="26" t="s">
        <v>37</v>
      </c>
      <c r="S567" s="26" t="s">
        <v>37</v>
      </c>
      <c r="T567" s="26" t="s">
        <v>37</v>
      </c>
      <c r="U567" s="11" t="s">
        <v>37</v>
      </c>
    </row>
    <row r="568" spans="1:21" s="1" customFormat="1" ht="14.4" x14ac:dyDescent="0.3">
      <c r="A568" s="11" t="s">
        <v>639</v>
      </c>
      <c r="B568" s="11" t="s">
        <v>713</v>
      </c>
      <c r="C568" s="11" t="s">
        <v>37</v>
      </c>
      <c r="D568" s="11" t="s">
        <v>1222</v>
      </c>
      <c r="E568" s="12">
        <v>1</v>
      </c>
      <c r="F568" s="5" t="s">
        <v>37</v>
      </c>
      <c r="G568" s="11" t="s">
        <v>23</v>
      </c>
      <c r="H568" s="11" t="s">
        <v>24</v>
      </c>
      <c r="I568" s="11" t="s">
        <v>25</v>
      </c>
      <c r="J568" s="11" t="s">
        <v>26</v>
      </c>
      <c r="K568" s="52" t="s">
        <v>37</v>
      </c>
      <c r="L568" s="50">
        <v>46101</v>
      </c>
      <c r="M568" s="11" t="s">
        <v>37</v>
      </c>
      <c r="N568" s="11">
        <v>0</v>
      </c>
      <c r="O568" s="55">
        <f t="shared" si="12"/>
        <v>0</v>
      </c>
      <c r="P568" s="46"/>
      <c r="Q568" s="26" t="s">
        <v>37</v>
      </c>
      <c r="R568" s="26" t="s">
        <v>37</v>
      </c>
      <c r="S568" s="26" t="s">
        <v>37</v>
      </c>
      <c r="T568" s="26" t="s">
        <v>37</v>
      </c>
      <c r="U568" s="11" t="s">
        <v>37</v>
      </c>
    </row>
    <row r="569" spans="1:21" s="1" customFormat="1" ht="26.4" x14ac:dyDescent="0.3">
      <c r="A569" s="11" t="s">
        <v>1361</v>
      </c>
      <c r="B569" s="11" t="s">
        <v>1343</v>
      </c>
      <c r="C569" s="11" t="s">
        <v>1344</v>
      </c>
      <c r="D569" s="11" t="s">
        <v>1222</v>
      </c>
      <c r="E569" s="12">
        <v>54</v>
      </c>
      <c r="F569" s="5" t="s">
        <v>1345</v>
      </c>
      <c r="G569" s="11" t="s">
        <v>23</v>
      </c>
      <c r="H569" s="11" t="s">
        <v>24</v>
      </c>
      <c r="I569" s="11" t="s">
        <v>653</v>
      </c>
      <c r="J569" s="11" t="s">
        <v>26</v>
      </c>
      <c r="K569" s="52">
        <v>43890</v>
      </c>
      <c r="L569" s="50">
        <v>46101</v>
      </c>
      <c r="M569" s="11" t="s">
        <v>1363</v>
      </c>
      <c r="N569" s="11">
        <v>72059</v>
      </c>
      <c r="O569" s="55">
        <f t="shared" si="12"/>
        <v>3891186</v>
      </c>
      <c r="P569" s="11"/>
      <c r="Q569" s="43" t="s">
        <v>1350</v>
      </c>
      <c r="R569" s="5">
        <v>9422033384</v>
      </c>
      <c r="S569" s="5" t="s">
        <v>1351</v>
      </c>
      <c r="T569" s="11" t="s">
        <v>58</v>
      </c>
      <c r="U569" s="11" t="s">
        <v>37</v>
      </c>
    </row>
    <row r="570" spans="1:21" s="1" customFormat="1" ht="14.4" x14ac:dyDescent="0.3">
      <c r="A570" s="33" t="s">
        <v>714</v>
      </c>
      <c r="B570" s="11" t="s">
        <v>715</v>
      </c>
      <c r="C570" s="11" t="s">
        <v>37</v>
      </c>
      <c r="D570" s="11" t="s">
        <v>1222</v>
      </c>
      <c r="E570" s="11">
        <v>1</v>
      </c>
      <c r="F570" s="5" t="s">
        <v>638</v>
      </c>
      <c r="G570" s="11" t="s">
        <v>23</v>
      </c>
      <c r="H570" s="11" t="s">
        <v>24</v>
      </c>
      <c r="I570" s="11" t="s">
        <v>25</v>
      </c>
      <c r="J570" s="11" t="s">
        <v>26</v>
      </c>
      <c r="K570" s="52">
        <v>41164</v>
      </c>
      <c r="L570" s="50">
        <v>46032</v>
      </c>
      <c r="M570" s="5" t="s">
        <v>642</v>
      </c>
      <c r="N570" s="54">
        <v>44925.33</v>
      </c>
      <c r="O570" s="55">
        <f t="shared" si="12"/>
        <v>44925.33</v>
      </c>
      <c r="P570" s="11" t="s">
        <v>1170</v>
      </c>
      <c r="Q570" s="11" t="s">
        <v>37</v>
      </c>
      <c r="R570" s="11" t="s">
        <v>37</v>
      </c>
      <c r="S570" s="11" t="s">
        <v>37</v>
      </c>
      <c r="T570" s="11" t="s">
        <v>643</v>
      </c>
      <c r="U570" s="11" t="s">
        <v>37</v>
      </c>
    </row>
    <row r="571" spans="1:21" s="1" customFormat="1" ht="14.4" x14ac:dyDescent="0.3">
      <c r="A571" s="11" t="s">
        <v>646</v>
      </c>
      <c r="B571" s="11" t="s">
        <v>1225</v>
      </c>
      <c r="C571" s="11" t="s">
        <v>37</v>
      </c>
      <c r="D571" s="11" t="s">
        <v>1222</v>
      </c>
      <c r="E571" s="11">
        <v>1</v>
      </c>
      <c r="F571" s="5" t="s">
        <v>1287</v>
      </c>
      <c r="G571" s="11" t="s">
        <v>23</v>
      </c>
      <c r="H571" s="11" t="s">
        <v>24</v>
      </c>
      <c r="I571" s="11" t="s">
        <v>25</v>
      </c>
      <c r="J571" s="11" t="s">
        <v>26</v>
      </c>
      <c r="K571" s="52">
        <v>41844</v>
      </c>
      <c r="L571" s="50">
        <v>46084</v>
      </c>
      <c r="M571" s="11" t="s">
        <v>1224</v>
      </c>
      <c r="N571" s="11">
        <v>181000</v>
      </c>
      <c r="O571" s="55">
        <f t="shared" si="12"/>
        <v>181000</v>
      </c>
      <c r="P571" s="11" t="s">
        <v>73</v>
      </c>
      <c r="Q571" s="5" t="s">
        <v>37</v>
      </c>
      <c r="R571" s="34">
        <v>8044464585</v>
      </c>
      <c r="S571" s="5" t="s">
        <v>1223</v>
      </c>
      <c r="T571" s="11" t="s">
        <v>643</v>
      </c>
      <c r="U571" s="11" t="s">
        <v>37</v>
      </c>
    </row>
    <row r="572" spans="1:21" s="1" customFormat="1" ht="14.4" x14ac:dyDescent="0.3">
      <c r="A572" s="11" t="s">
        <v>637</v>
      </c>
      <c r="B572" s="11" t="s">
        <v>686</v>
      </c>
      <c r="C572" s="11" t="s">
        <v>37</v>
      </c>
      <c r="D572" s="11" t="s">
        <v>1222</v>
      </c>
      <c r="E572" s="11">
        <v>1</v>
      </c>
      <c r="F572" s="5" t="s">
        <v>1287</v>
      </c>
      <c r="G572" s="11" t="s">
        <v>23</v>
      </c>
      <c r="H572" s="11" t="s">
        <v>24</v>
      </c>
      <c r="I572" s="11" t="s">
        <v>25</v>
      </c>
      <c r="J572" s="11" t="s">
        <v>26</v>
      </c>
      <c r="K572" s="52">
        <v>41844</v>
      </c>
      <c r="L572" s="50">
        <v>46084</v>
      </c>
      <c r="M572" s="11" t="s">
        <v>1224</v>
      </c>
      <c r="N572" s="11">
        <v>266310</v>
      </c>
      <c r="O572" s="55">
        <f t="shared" si="12"/>
        <v>266310</v>
      </c>
      <c r="P572" s="11" t="s">
        <v>73</v>
      </c>
      <c r="Q572" s="5" t="s">
        <v>37</v>
      </c>
      <c r="R572" s="34">
        <v>8044464585</v>
      </c>
      <c r="S572" s="5" t="s">
        <v>1223</v>
      </c>
      <c r="T572" s="11" t="s">
        <v>643</v>
      </c>
      <c r="U572" s="11" t="s">
        <v>37</v>
      </c>
    </row>
    <row r="573" spans="1:21" s="1" customFormat="1" ht="14.4" x14ac:dyDescent="0.3">
      <c r="A573" s="11" t="s">
        <v>648</v>
      </c>
      <c r="B573" s="11" t="s">
        <v>681</v>
      </c>
      <c r="C573" s="11" t="s">
        <v>37</v>
      </c>
      <c r="D573" s="11" t="s">
        <v>1222</v>
      </c>
      <c r="E573" s="11">
        <v>1</v>
      </c>
      <c r="F573" s="5" t="s">
        <v>1287</v>
      </c>
      <c r="G573" s="11" t="s">
        <v>23</v>
      </c>
      <c r="H573" s="11" t="s">
        <v>24</v>
      </c>
      <c r="I573" s="11" t="s">
        <v>25</v>
      </c>
      <c r="J573" s="11" t="s">
        <v>26</v>
      </c>
      <c r="K573" s="52">
        <v>41844</v>
      </c>
      <c r="L573" s="50">
        <v>46084</v>
      </c>
      <c r="M573" s="11" t="s">
        <v>1224</v>
      </c>
      <c r="N573" s="11">
        <v>251976</v>
      </c>
      <c r="O573" s="55">
        <f t="shared" si="12"/>
        <v>251976</v>
      </c>
      <c r="P573" s="11" t="s">
        <v>73</v>
      </c>
      <c r="Q573" s="5" t="s">
        <v>37</v>
      </c>
      <c r="R573" s="34">
        <v>8044464585</v>
      </c>
      <c r="S573" s="5" t="s">
        <v>1223</v>
      </c>
      <c r="T573" s="11" t="s">
        <v>643</v>
      </c>
      <c r="U573" s="11" t="s">
        <v>37</v>
      </c>
    </row>
    <row r="574" spans="1:21" s="1" customFormat="1" ht="14.4" x14ac:dyDescent="0.3">
      <c r="A574" s="11" t="s">
        <v>650</v>
      </c>
      <c r="B574" s="11" t="s">
        <v>651</v>
      </c>
      <c r="C574" s="11" t="s">
        <v>37</v>
      </c>
      <c r="D574" s="11" t="s">
        <v>1222</v>
      </c>
      <c r="E574" s="11">
        <v>1</v>
      </c>
      <c r="F574" s="5" t="s">
        <v>1287</v>
      </c>
      <c r="G574" s="11" t="s">
        <v>23</v>
      </c>
      <c r="H574" s="11" t="s">
        <v>24</v>
      </c>
      <c r="I574" s="11" t="s">
        <v>25</v>
      </c>
      <c r="J574" s="11" t="s">
        <v>26</v>
      </c>
      <c r="K574" s="52">
        <v>41844</v>
      </c>
      <c r="L574" s="50">
        <v>46084</v>
      </c>
      <c r="M574" s="11" t="s">
        <v>1224</v>
      </c>
      <c r="N574" s="11">
        <v>181000</v>
      </c>
      <c r="O574" s="55">
        <f t="shared" si="12"/>
        <v>181000</v>
      </c>
      <c r="P574" s="11" t="s">
        <v>73</v>
      </c>
      <c r="Q574" s="5" t="s">
        <v>37</v>
      </c>
      <c r="R574" s="34">
        <v>8044464585</v>
      </c>
      <c r="S574" s="5" t="s">
        <v>1223</v>
      </c>
      <c r="T574" s="11" t="s">
        <v>643</v>
      </c>
      <c r="U574" s="11" t="s">
        <v>37</v>
      </c>
    </row>
    <row r="575" spans="1:21" s="1" customFormat="1" ht="14.4" x14ac:dyDescent="0.3">
      <c r="A575" s="33" t="s">
        <v>716</v>
      </c>
      <c r="B575" s="11" t="s">
        <v>717</v>
      </c>
      <c r="C575" s="11" t="s">
        <v>37</v>
      </c>
      <c r="D575" s="11" t="s">
        <v>1222</v>
      </c>
      <c r="E575" s="11">
        <v>1</v>
      </c>
      <c r="F575" s="5" t="s">
        <v>638</v>
      </c>
      <c r="G575" s="11" t="s">
        <v>23</v>
      </c>
      <c r="H575" s="11" t="s">
        <v>24</v>
      </c>
      <c r="I575" s="11" t="s">
        <v>25</v>
      </c>
      <c r="J575" s="11" t="s">
        <v>26</v>
      </c>
      <c r="K575" s="52">
        <v>41164</v>
      </c>
      <c r="L575" s="50">
        <v>46032</v>
      </c>
      <c r="M575" s="5" t="s">
        <v>642</v>
      </c>
      <c r="N575" s="54">
        <v>44925.33</v>
      </c>
      <c r="O575" s="55">
        <f t="shared" si="12"/>
        <v>44925.33</v>
      </c>
      <c r="P575" s="11" t="s">
        <v>1170</v>
      </c>
      <c r="Q575" s="11" t="s">
        <v>37</v>
      </c>
      <c r="R575" s="11" t="s">
        <v>37</v>
      </c>
      <c r="S575" s="11" t="s">
        <v>37</v>
      </c>
      <c r="T575" s="11" t="s">
        <v>643</v>
      </c>
      <c r="U575" s="11" t="s">
        <v>37</v>
      </c>
    </row>
    <row r="576" spans="1:21" s="1" customFormat="1" ht="14.4" x14ac:dyDescent="0.3">
      <c r="A576" s="11" t="s">
        <v>646</v>
      </c>
      <c r="B576" s="11" t="s">
        <v>1225</v>
      </c>
      <c r="C576" s="11" t="s">
        <v>37</v>
      </c>
      <c r="D576" s="11" t="s">
        <v>1222</v>
      </c>
      <c r="E576" s="11">
        <v>1</v>
      </c>
      <c r="F576" s="5" t="s">
        <v>1287</v>
      </c>
      <c r="G576" s="11" t="s">
        <v>23</v>
      </c>
      <c r="H576" s="11" t="s">
        <v>24</v>
      </c>
      <c r="I576" s="11" t="s">
        <v>25</v>
      </c>
      <c r="J576" s="11" t="s">
        <v>26</v>
      </c>
      <c r="K576" s="52">
        <v>41844</v>
      </c>
      <c r="L576" s="50">
        <v>46084</v>
      </c>
      <c r="M576" s="11" t="s">
        <v>1224</v>
      </c>
      <c r="N576" s="11">
        <v>181000</v>
      </c>
      <c r="O576" s="55">
        <f t="shared" si="12"/>
        <v>181000</v>
      </c>
      <c r="P576" s="11" t="s">
        <v>73</v>
      </c>
      <c r="Q576" s="5" t="s">
        <v>37</v>
      </c>
      <c r="R576" s="34">
        <v>8044464585</v>
      </c>
      <c r="S576" s="5" t="s">
        <v>1223</v>
      </c>
      <c r="T576" s="11" t="s">
        <v>643</v>
      </c>
      <c r="U576" s="11" t="s">
        <v>37</v>
      </c>
    </row>
    <row r="577" spans="1:21" s="1" customFormat="1" ht="14.4" x14ac:dyDescent="0.3">
      <c r="A577" s="11" t="s">
        <v>637</v>
      </c>
      <c r="B577" s="11" t="s">
        <v>686</v>
      </c>
      <c r="C577" s="11" t="s">
        <v>37</v>
      </c>
      <c r="D577" s="11" t="s">
        <v>1222</v>
      </c>
      <c r="E577" s="11">
        <v>1</v>
      </c>
      <c r="F577" s="5" t="s">
        <v>1287</v>
      </c>
      <c r="G577" s="11" t="s">
        <v>23</v>
      </c>
      <c r="H577" s="11" t="s">
        <v>24</v>
      </c>
      <c r="I577" s="11" t="s">
        <v>25</v>
      </c>
      <c r="J577" s="11" t="s">
        <v>26</v>
      </c>
      <c r="K577" s="52">
        <v>41844</v>
      </c>
      <c r="L577" s="50">
        <v>46084</v>
      </c>
      <c r="M577" s="11" t="s">
        <v>1224</v>
      </c>
      <c r="N577" s="11">
        <v>266310</v>
      </c>
      <c r="O577" s="55">
        <f t="shared" si="12"/>
        <v>266310</v>
      </c>
      <c r="P577" s="11" t="s">
        <v>73</v>
      </c>
      <c r="Q577" s="5" t="s">
        <v>37</v>
      </c>
      <c r="R577" s="34">
        <v>8044464585</v>
      </c>
      <c r="S577" s="5" t="s">
        <v>1223</v>
      </c>
      <c r="T577" s="11" t="s">
        <v>643</v>
      </c>
      <c r="U577" s="11" t="s">
        <v>37</v>
      </c>
    </row>
    <row r="578" spans="1:21" s="1" customFormat="1" ht="14.4" x14ac:dyDescent="0.3">
      <c r="A578" s="11" t="s">
        <v>648</v>
      </c>
      <c r="B578" s="11" t="s">
        <v>681</v>
      </c>
      <c r="C578" s="11" t="s">
        <v>37</v>
      </c>
      <c r="D578" s="11" t="s">
        <v>1222</v>
      </c>
      <c r="E578" s="11">
        <v>1</v>
      </c>
      <c r="F578" s="5" t="s">
        <v>1287</v>
      </c>
      <c r="G578" s="11" t="s">
        <v>23</v>
      </c>
      <c r="H578" s="11" t="s">
        <v>24</v>
      </c>
      <c r="I578" s="11" t="s">
        <v>25</v>
      </c>
      <c r="J578" s="11" t="s">
        <v>26</v>
      </c>
      <c r="K578" s="52">
        <v>41844</v>
      </c>
      <c r="L578" s="50">
        <v>46084</v>
      </c>
      <c r="M578" s="11" t="s">
        <v>1224</v>
      </c>
      <c r="N578" s="11">
        <v>251976</v>
      </c>
      <c r="O578" s="55">
        <f t="shared" si="12"/>
        <v>251976</v>
      </c>
      <c r="P578" s="11" t="s">
        <v>73</v>
      </c>
      <c r="Q578" s="5" t="s">
        <v>37</v>
      </c>
      <c r="R578" s="34">
        <v>8044464585</v>
      </c>
      <c r="S578" s="5" t="s">
        <v>1223</v>
      </c>
      <c r="T578" s="11" t="s">
        <v>643</v>
      </c>
      <c r="U578" s="11" t="s">
        <v>37</v>
      </c>
    </row>
    <row r="579" spans="1:21" s="1" customFormat="1" ht="14.4" x14ac:dyDescent="0.3">
      <c r="A579" s="11" t="s">
        <v>650</v>
      </c>
      <c r="B579" s="11" t="s">
        <v>651</v>
      </c>
      <c r="C579" s="11" t="s">
        <v>37</v>
      </c>
      <c r="D579" s="11" t="s">
        <v>1222</v>
      </c>
      <c r="E579" s="11">
        <v>1</v>
      </c>
      <c r="F579" s="5" t="s">
        <v>1287</v>
      </c>
      <c r="G579" s="11" t="s">
        <v>23</v>
      </c>
      <c r="H579" s="11" t="s">
        <v>24</v>
      </c>
      <c r="I579" s="11" t="s">
        <v>25</v>
      </c>
      <c r="J579" s="11" t="s">
        <v>26</v>
      </c>
      <c r="K579" s="52">
        <v>41844</v>
      </c>
      <c r="L579" s="50">
        <v>46084</v>
      </c>
      <c r="M579" s="11" t="s">
        <v>1224</v>
      </c>
      <c r="N579" s="11">
        <v>181000</v>
      </c>
      <c r="O579" s="55">
        <f t="shared" si="12"/>
        <v>181000</v>
      </c>
      <c r="P579" s="11" t="s">
        <v>73</v>
      </c>
      <c r="Q579" s="5" t="s">
        <v>37</v>
      </c>
      <c r="R579" s="34">
        <v>8044464585</v>
      </c>
      <c r="S579" s="5" t="s">
        <v>1223</v>
      </c>
      <c r="T579" s="11" t="s">
        <v>643</v>
      </c>
      <c r="U579" s="11" t="s">
        <v>37</v>
      </c>
    </row>
    <row r="580" spans="1:21" s="1" customFormat="1" ht="14.4" x14ac:dyDescent="0.3">
      <c r="A580" s="33" t="s">
        <v>718</v>
      </c>
      <c r="B580" s="11" t="s">
        <v>719</v>
      </c>
      <c r="C580" s="11" t="s">
        <v>37</v>
      </c>
      <c r="D580" s="11" t="s">
        <v>1222</v>
      </c>
      <c r="E580" s="11">
        <v>1</v>
      </c>
      <c r="F580" s="5" t="s">
        <v>638</v>
      </c>
      <c r="G580" s="11" t="s">
        <v>23</v>
      </c>
      <c r="H580" s="11" t="s">
        <v>24</v>
      </c>
      <c r="I580" s="11" t="s">
        <v>25</v>
      </c>
      <c r="J580" s="11" t="s">
        <v>26</v>
      </c>
      <c r="K580" s="52">
        <v>41164</v>
      </c>
      <c r="L580" s="50">
        <v>46032</v>
      </c>
      <c r="M580" s="5" t="s">
        <v>642</v>
      </c>
      <c r="N580" s="54">
        <v>44925.33</v>
      </c>
      <c r="O580" s="55">
        <f t="shared" si="12"/>
        <v>44925.33</v>
      </c>
      <c r="P580" s="11" t="s">
        <v>1170</v>
      </c>
      <c r="Q580" s="11" t="s">
        <v>37</v>
      </c>
      <c r="R580" s="11" t="s">
        <v>37</v>
      </c>
      <c r="S580" s="11" t="s">
        <v>37</v>
      </c>
      <c r="T580" s="11" t="s">
        <v>643</v>
      </c>
      <c r="U580" s="11" t="s">
        <v>37</v>
      </c>
    </row>
    <row r="581" spans="1:21" s="1" customFormat="1" ht="14.4" x14ac:dyDescent="0.3">
      <c r="A581" s="11" t="s">
        <v>646</v>
      </c>
      <c r="B581" s="11" t="s">
        <v>1225</v>
      </c>
      <c r="C581" s="11" t="s">
        <v>37</v>
      </c>
      <c r="D581" s="11" t="s">
        <v>1222</v>
      </c>
      <c r="E581" s="11">
        <v>1</v>
      </c>
      <c r="F581" s="5" t="s">
        <v>1287</v>
      </c>
      <c r="G581" s="11" t="s">
        <v>23</v>
      </c>
      <c r="H581" s="11" t="s">
        <v>24</v>
      </c>
      <c r="I581" s="11" t="s">
        <v>25</v>
      </c>
      <c r="J581" s="11" t="s">
        <v>26</v>
      </c>
      <c r="K581" s="52">
        <v>41844</v>
      </c>
      <c r="L581" s="50">
        <v>46084</v>
      </c>
      <c r="M581" s="11" t="s">
        <v>1224</v>
      </c>
      <c r="N581" s="11">
        <v>181000</v>
      </c>
      <c r="O581" s="55">
        <f t="shared" si="12"/>
        <v>181000</v>
      </c>
      <c r="P581" s="11" t="s">
        <v>73</v>
      </c>
      <c r="Q581" s="5" t="s">
        <v>37</v>
      </c>
      <c r="R581" s="34">
        <v>8044464585</v>
      </c>
      <c r="S581" s="5" t="s">
        <v>1223</v>
      </c>
      <c r="T581" s="11" t="s">
        <v>643</v>
      </c>
      <c r="U581" s="11" t="s">
        <v>37</v>
      </c>
    </row>
    <row r="582" spans="1:21" s="1" customFormat="1" ht="14.4" x14ac:dyDescent="0.3">
      <c r="A582" s="11" t="s">
        <v>637</v>
      </c>
      <c r="B582" s="11" t="s">
        <v>686</v>
      </c>
      <c r="C582" s="11" t="s">
        <v>37</v>
      </c>
      <c r="D582" s="11" t="s">
        <v>1222</v>
      </c>
      <c r="E582" s="11">
        <v>1</v>
      </c>
      <c r="F582" s="5" t="s">
        <v>1287</v>
      </c>
      <c r="G582" s="11" t="s">
        <v>23</v>
      </c>
      <c r="H582" s="11" t="s">
        <v>24</v>
      </c>
      <c r="I582" s="11" t="s">
        <v>25</v>
      </c>
      <c r="J582" s="11" t="s">
        <v>26</v>
      </c>
      <c r="K582" s="52">
        <v>41844</v>
      </c>
      <c r="L582" s="50">
        <v>46084</v>
      </c>
      <c r="M582" s="11" t="s">
        <v>1224</v>
      </c>
      <c r="N582" s="11">
        <v>266310</v>
      </c>
      <c r="O582" s="55">
        <f t="shared" si="12"/>
        <v>266310</v>
      </c>
      <c r="P582" s="11" t="s">
        <v>73</v>
      </c>
      <c r="Q582" s="5" t="s">
        <v>37</v>
      </c>
      <c r="R582" s="34">
        <v>8044464585</v>
      </c>
      <c r="S582" s="5" t="s">
        <v>1223</v>
      </c>
      <c r="T582" s="11" t="s">
        <v>643</v>
      </c>
      <c r="U582" s="11" t="s">
        <v>37</v>
      </c>
    </row>
    <row r="583" spans="1:21" s="1" customFormat="1" ht="14.4" x14ac:dyDescent="0.3">
      <c r="A583" s="11" t="s">
        <v>648</v>
      </c>
      <c r="B583" s="11" t="s">
        <v>681</v>
      </c>
      <c r="C583" s="11" t="s">
        <v>37</v>
      </c>
      <c r="D583" s="11" t="s">
        <v>1222</v>
      </c>
      <c r="E583" s="11">
        <v>1</v>
      </c>
      <c r="F583" s="5" t="s">
        <v>1287</v>
      </c>
      <c r="G583" s="11" t="s">
        <v>23</v>
      </c>
      <c r="H583" s="11" t="s">
        <v>24</v>
      </c>
      <c r="I583" s="11" t="s">
        <v>25</v>
      </c>
      <c r="J583" s="11" t="s">
        <v>26</v>
      </c>
      <c r="K583" s="52">
        <v>41844</v>
      </c>
      <c r="L583" s="50">
        <v>46084</v>
      </c>
      <c r="M583" s="11" t="s">
        <v>1224</v>
      </c>
      <c r="N583" s="11">
        <v>251976</v>
      </c>
      <c r="O583" s="55">
        <f t="shared" si="12"/>
        <v>251976</v>
      </c>
      <c r="P583" s="11" t="s">
        <v>73</v>
      </c>
      <c r="Q583" s="5" t="s">
        <v>37</v>
      </c>
      <c r="R583" s="34">
        <v>8044464585</v>
      </c>
      <c r="S583" s="5" t="s">
        <v>1223</v>
      </c>
      <c r="T583" s="11" t="s">
        <v>643</v>
      </c>
      <c r="U583" s="11" t="s">
        <v>37</v>
      </c>
    </row>
    <row r="584" spans="1:21" s="1" customFormat="1" ht="14.4" x14ac:dyDescent="0.3">
      <c r="A584" s="11" t="s">
        <v>650</v>
      </c>
      <c r="B584" s="11" t="s">
        <v>651</v>
      </c>
      <c r="C584" s="11" t="s">
        <v>37</v>
      </c>
      <c r="D584" s="11" t="s">
        <v>1222</v>
      </c>
      <c r="E584" s="11">
        <v>1</v>
      </c>
      <c r="F584" s="5" t="s">
        <v>1287</v>
      </c>
      <c r="G584" s="11" t="s">
        <v>23</v>
      </c>
      <c r="H584" s="11" t="s">
        <v>24</v>
      </c>
      <c r="I584" s="11" t="s">
        <v>25</v>
      </c>
      <c r="J584" s="11" t="s">
        <v>26</v>
      </c>
      <c r="K584" s="52">
        <v>41844</v>
      </c>
      <c r="L584" s="50">
        <v>46084</v>
      </c>
      <c r="M584" s="11" t="s">
        <v>1224</v>
      </c>
      <c r="N584" s="11">
        <v>181000</v>
      </c>
      <c r="O584" s="55">
        <f t="shared" si="12"/>
        <v>181000</v>
      </c>
      <c r="P584" s="11" t="s">
        <v>73</v>
      </c>
      <c r="Q584" s="5" t="s">
        <v>37</v>
      </c>
      <c r="R584" s="34">
        <v>8044464585</v>
      </c>
      <c r="S584" s="5" t="s">
        <v>1223</v>
      </c>
      <c r="T584" s="11" t="s">
        <v>643</v>
      </c>
      <c r="U584" s="11" t="s">
        <v>37</v>
      </c>
    </row>
    <row r="585" spans="1:21" s="1" customFormat="1" ht="14.4" x14ac:dyDescent="0.3">
      <c r="A585" s="33" t="s">
        <v>720</v>
      </c>
      <c r="B585" s="11" t="s">
        <v>721</v>
      </c>
      <c r="C585" s="11" t="s">
        <v>37</v>
      </c>
      <c r="D585" s="11" t="s">
        <v>1222</v>
      </c>
      <c r="E585" s="11">
        <v>1</v>
      </c>
      <c r="F585" s="5" t="s">
        <v>638</v>
      </c>
      <c r="G585" s="11" t="s">
        <v>23</v>
      </c>
      <c r="H585" s="11" t="s">
        <v>24</v>
      </c>
      <c r="I585" s="11" t="s">
        <v>25</v>
      </c>
      <c r="J585" s="11" t="s">
        <v>26</v>
      </c>
      <c r="K585" s="52">
        <v>41164</v>
      </c>
      <c r="L585" s="50">
        <v>46032</v>
      </c>
      <c r="M585" s="5" t="s">
        <v>642</v>
      </c>
      <c r="N585" s="54">
        <v>44925.33</v>
      </c>
      <c r="O585" s="55">
        <f t="shared" si="12"/>
        <v>44925.33</v>
      </c>
      <c r="P585" s="11" t="s">
        <v>1170</v>
      </c>
      <c r="Q585" s="11" t="s">
        <v>37</v>
      </c>
      <c r="R585" s="11" t="s">
        <v>37</v>
      </c>
      <c r="S585" s="11" t="s">
        <v>37</v>
      </c>
      <c r="T585" s="11" t="s">
        <v>643</v>
      </c>
      <c r="U585" s="11" t="s">
        <v>37</v>
      </c>
    </row>
    <row r="586" spans="1:21" s="1" customFormat="1" ht="14.4" x14ac:dyDescent="0.3">
      <c r="A586" s="11" t="s">
        <v>646</v>
      </c>
      <c r="B586" s="11" t="s">
        <v>1225</v>
      </c>
      <c r="C586" s="11" t="s">
        <v>37</v>
      </c>
      <c r="D586" s="11" t="s">
        <v>1222</v>
      </c>
      <c r="E586" s="11">
        <v>1</v>
      </c>
      <c r="F586" s="5" t="s">
        <v>1287</v>
      </c>
      <c r="G586" s="11" t="s">
        <v>23</v>
      </c>
      <c r="H586" s="11" t="s">
        <v>24</v>
      </c>
      <c r="I586" s="11" t="s">
        <v>25</v>
      </c>
      <c r="J586" s="11" t="s">
        <v>26</v>
      </c>
      <c r="K586" s="52">
        <v>41844</v>
      </c>
      <c r="L586" s="50">
        <v>46084</v>
      </c>
      <c r="M586" s="11" t="s">
        <v>1224</v>
      </c>
      <c r="N586" s="11">
        <v>181000</v>
      </c>
      <c r="O586" s="55">
        <f t="shared" si="12"/>
        <v>181000</v>
      </c>
      <c r="P586" s="11" t="s">
        <v>73</v>
      </c>
      <c r="Q586" s="5" t="s">
        <v>37</v>
      </c>
      <c r="R586" s="34">
        <v>8044464585</v>
      </c>
      <c r="S586" s="5" t="s">
        <v>1223</v>
      </c>
      <c r="T586" s="11" t="s">
        <v>643</v>
      </c>
      <c r="U586" s="11" t="s">
        <v>37</v>
      </c>
    </row>
    <row r="587" spans="1:21" s="1" customFormat="1" ht="14.4" x14ac:dyDescent="0.3">
      <c r="A587" s="11" t="s">
        <v>637</v>
      </c>
      <c r="B587" s="11" t="s">
        <v>686</v>
      </c>
      <c r="C587" s="11" t="s">
        <v>37</v>
      </c>
      <c r="D587" s="11" t="s">
        <v>1222</v>
      </c>
      <c r="E587" s="11">
        <v>1</v>
      </c>
      <c r="F587" s="5" t="s">
        <v>1287</v>
      </c>
      <c r="G587" s="11" t="s">
        <v>23</v>
      </c>
      <c r="H587" s="11" t="s">
        <v>24</v>
      </c>
      <c r="I587" s="11" t="s">
        <v>25</v>
      </c>
      <c r="J587" s="11" t="s">
        <v>26</v>
      </c>
      <c r="K587" s="52">
        <v>41844</v>
      </c>
      <c r="L587" s="50">
        <v>46084</v>
      </c>
      <c r="M587" s="11" t="s">
        <v>1224</v>
      </c>
      <c r="N587" s="11">
        <v>266310</v>
      </c>
      <c r="O587" s="55">
        <f t="shared" si="12"/>
        <v>266310</v>
      </c>
      <c r="P587" s="11" t="s">
        <v>73</v>
      </c>
      <c r="Q587" s="5" t="s">
        <v>37</v>
      </c>
      <c r="R587" s="34">
        <v>8044464585</v>
      </c>
      <c r="S587" s="5" t="s">
        <v>1223</v>
      </c>
      <c r="T587" s="11" t="s">
        <v>643</v>
      </c>
      <c r="U587" s="11" t="s">
        <v>37</v>
      </c>
    </row>
    <row r="588" spans="1:21" s="1" customFormat="1" ht="14.4" x14ac:dyDescent="0.3">
      <c r="A588" s="11" t="s">
        <v>648</v>
      </c>
      <c r="B588" s="11" t="s">
        <v>681</v>
      </c>
      <c r="C588" s="11" t="s">
        <v>37</v>
      </c>
      <c r="D588" s="11" t="s">
        <v>1222</v>
      </c>
      <c r="E588" s="11">
        <v>1</v>
      </c>
      <c r="F588" s="5" t="s">
        <v>1287</v>
      </c>
      <c r="G588" s="11" t="s">
        <v>23</v>
      </c>
      <c r="H588" s="11" t="s">
        <v>24</v>
      </c>
      <c r="I588" s="11" t="s">
        <v>25</v>
      </c>
      <c r="J588" s="11" t="s">
        <v>26</v>
      </c>
      <c r="K588" s="52">
        <v>41844</v>
      </c>
      <c r="L588" s="50">
        <v>46084</v>
      </c>
      <c r="M588" s="11" t="s">
        <v>1224</v>
      </c>
      <c r="N588" s="11">
        <v>251976</v>
      </c>
      <c r="O588" s="55">
        <f t="shared" si="12"/>
        <v>251976</v>
      </c>
      <c r="P588" s="11" t="s">
        <v>73</v>
      </c>
      <c r="Q588" s="5" t="s">
        <v>37</v>
      </c>
      <c r="R588" s="34">
        <v>8044464585</v>
      </c>
      <c r="S588" s="5" t="s">
        <v>1223</v>
      </c>
      <c r="T588" s="11" t="s">
        <v>643</v>
      </c>
      <c r="U588" s="11" t="s">
        <v>37</v>
      </c>
    </row>
    <row r="589" spans="1:21" s="1" customFormat="1" ht="14.4" x14ac:dyDescent="0.3">
      <c r="A589" s="11" t="s">
        <v>650</v>
      </c>
      <c r="B589" s="11" t="s">
        <v>651</v>
      </c>
      <c r="C589" s="11" t="s">
        <v>37</v>
      </c>
      <c r="D589" s="11" t="s">
        <v>1222</v>
      </c>
      <c r="E589" s="11">
        <v>1</v>
      </c>
      <c r="F589" s="5" t="s">
        <v>1287</v>
      </c>
      <c r="G589" s="11" t="s">
        <v>23</v>
      </c>
      <c r="H589" s="11" t="s">
        <v>24</v>
      </c>
      <c r="I589" s="11" t="s">
        <v>25</v>
      </c>
      <c r="J589" s="11" t="s">
        <v>26</v>
      </c>
      <c r="K589" s="52">
        <v>41844</v>
      </c>
      <c r="L589" s="50">
        <v>46084</v>
      </c>
      <c r="M589" s="11" t="s">
        <v>1224</v>
      </c>
      <c r="N589" s="11">
        <v>181000</v>
      </c>
      <c r="O589" s="55">
        <f t="shared" si="12"/>
        <v>181000</v>
      </c>
      <c r="P589" s="11" t="s">
        <v>73</v>
      </c>
      <c r="Q589" s="5" t="s">
        <v>37</v>
      </c>
      <c r="R589" s="34">
        <v>8044464585</v>
      </c>
      <c r="S589" s="5" t="s">
        <v>1223</v>
      </c>
      <c r="T589" s="11" t="s">
        <v>643</v>
      </c>
      <c r="U589" s="11" t="s">
        <v>37</v>
      </c>
    </row>
    <row r="590" spans="1:21" s="1" customFormat="1" ht="26.4" x14ac:dyDescent="0.3">
      <c r="A590" s="11" t="s">
        <v>1362</v>
      </c>
      <c r="B590" s="11" t="s">
        <v>1343</v>
      </c>
      <c r="C590" s="11" t="s">
        <v>1344</v>
      </c>
      <c r="D590" s="11" t="s">
        <v>1222</v>
      </c>
      <c r="E590" s="12">
        <v>54</v>
      </c>
      <c r="F590" s="5" t="s">
        <v>1345</v>
      </c>
      <c r="G590" s="11" t="s">
        <v>23</v>
      </c>
      <c r="H590" s="11" t="s">
        <v>24</v>
      </c>
      <c r="I590" s="11" t="s">
        <v>653</v>
      </c>
      <c r="J590" s="11" t="s">
        <v>26</v>
      </c>
      <c r="K590" s="52">
        <v>43890</v>
      </c>
      <c r="L590" s="50">
        <v>46101</v>
      </c>
      <c r="M590" s="11" t="s">
        <v>1363</v>
      </c>
      <c r="N590" s="11">
        <v>72059</v>
      </c>
      <c r="O590" s="55">
        <f t="shared" si="12"/>
        <v>3891186</v>
      </c>
      <c r="P590" s="11"/>
      <c r="Q590" s="43" t="s">
        <v>1350</v>
      </c>
      <c r="R590" s="5">
        <v>9422033384</v>
      </c>
      <c r="S590" s="5" t="s">
        <v>1351</v>
      </c>
      <c r="T590" s="11" t="s">
        <v>58</v>
      </c>
      <c r="U590" s="11" t="s">
        <v>37</v>
      </c>
    </row>
    <row r="591" spans="1:21" s="1" customFormat="1" ht="14.4" x14ac:dyDescent="0.3">
      <c r="A591" s="33" t="s">
        <v>722</v>
      </c>
      <c r="B591" s="11" t="s">
        <v>723</v>
      </c>
      <c r="C591" s="11" t="s">
        <v>37</v>
      </c>
      <c r="D591" s="11" t="s">
        <v>1222</v>
      </c>
      <c r="E591" s="11">
        <v>1</v>
      </c>
      <c r="F591" s="5" t="s">
        <v>638</v>
      </c>
      <c r="G591" s="11" t="s">
        <v>23</v>
      </c>
      <c r="H591" s="11" t="s">
        <v>24</v>
      </c>
      <c r="I591" s="11" t="s">
        <v>25</v>
      </c>
      <c r="J591" s="11" t="s">
        <v>26</v>
      </c>
      <c r="K591" s="52">
        <v>41164</v>
      </c>
      <c r="L591" s="50">
        <v>46032</v>
      </c>
      <c r="M591" s="5" t="s">
        <v>642</v>
      </c>
      <c r="N591" s="54">
        <v>44925.33</v>
      </c>
      <c r="O591" s="55">
        <f t="shared" si="12"/>
        <v>44925.33</v>
      </c>
      <c r="P591" s="11" t="s">
        <v>1170</v>
      </c>
      <c r="Q591" s="11" t="s">
        <v>37</v>
      </c>
      <c r="R591" s="11" t="s">
        <v>37</v>
      </c>
      <c r="S591" s="11" t="s">
        <v>37</v>
      </c>
      <c r="T591" s="11" t="s">
        <v>643</v>
      </c>
      <c r="U591" s="11" t="s">
        <v>37</v>
      </c>
    </row>
    <row r="592" spans="1:21" s="1" customFormat="1" ht="14.4" x14ac:dyDescent="0.3">
      <c r="A592" s="11" t="s">
        <v>646</v>
      </c>
      <c r="B592" s="11" t="s">
        <v>1225</v>
      </c>
      <c r="C592" s="11" t="s">
        <v>37</v>
      </c>
      <c r="D592" s="11" t="s">
        <v>1222</v>
      </c>
      <c r="E592" s="11">
        <v>1</v>
      </c>
      <c r="F592" s="5" t="s">
        <v>1287</v>
      </c>
      <c r="G592" s="11" t="s">
        <v>23</v>
      </c>
      <c r="H592" s="11" t="s">
        <v>24</v>
      </c>
      <c r="I592" s="11" t="s">
        <v>25</v>
      </c>
      <c r="J592" s="11" t="s">
        <v>26</v>
      </c>
      <c r="K592" s="52">
        <v>41844</v>
      </c>
      <c r="L592" s="50">
        <v>46084</v>
      </c>
      <c r="M592" s="11" t="s">
        <v>1224</v>
      </c>
      <c r="N592" s="11">
        <v>181000</v>
      </c>
      <c r="O592" s="55">
        <f t="shared" si="12"/>
        <v>181000</v>
      </c>
      <c r="P592" s="11" t="s">
        <v>73</v>
      </c>
      <c r="Q592" s="5" t="s">
        <v>37</v>
      </c>
      <c r="R592" s="34">
        <v>8044464585</v>
      </c>
      <c r="S592" s="5" t="s">
        <v>1223</v>
      </c>
      <c r="T592" s="11" t="s">
        <v>643</v>
      </c>
      <c r="U592" s="11" t="s">
        <v>37</v>
      </c>
    </row>
    <row r="593" spans="1:21" s="1" customFormat="1" ht="14.4" x14ac:dyDescent="0.3">
      <c r="A593" s="11" t="s">
        <v>637</v>
      </c>
      <c r="B593" s="11" t="s">
        <v>686</v>
      </c>
      <c r="C593" s="11" t="s">
        <v>37</v>
      </c>
      <c r="D593" s="11" t="s">
        <v>1222</v>
      </c>
      <c r="E593" s="11">
        <v>1</v>
      </c>
      <c r="F593" s="5" t="s">
        <v>1287</v>
      </c>
      <c r="G593" s="11" t="s">
        <v>23</v>
      </c>
      <c r="H593" s="11" t="s">
        <v>24</v>
      </c>
      <c r="I593" s="11" t="s">
        <v>25</v>
      </c>
      <c r="J593" s="11" t="s">
        <v>26</v>
      </c>
      <c r="K593" s="52">
        <v>41844</v>
      </c>
      <c r="L593" s="50">
        <v>46084</v>
      </c>
      <c r="M593" s="11" t="s">
        <v>1224</v>
      </c>
      <c r="N593" s="11">
        <v>266310</v>
      </c>
      <c r="O593" s="55">
        <f t="shared" si="12"/>
        <v>266310</v>
      </c>
      <c r="P593" s="11" t="s">
        <v>73</v>
      </c>
      <c r="Q593" s="5" t="s">
        <v>37</v>
      </c>
      <c r="R593" s="34">
        <v>8044464585</v>
      </c>
      <c r="S593" s="5" t="s">
        <v>1223</v>
      </c>
      <c r="T593" s="11" t="s">
        <v>643</v>
      </c>
      <c r="U593" s="11" t="s">
        <v>37</v>
      </c>
    </row>
    <row r="594" spans="1:21" s="1" customFormat="1" ht="14.4" x14ac:dyDescent="0.3">
      <c r="A594" s="11" t="s">
        <v>648</v>
      </c>
      <c r="B594" s="11" t="s">
        <v>681</v>
      </c>
      <c r="C594" s="11" t="s">
        <v>37</v>
      </c>
      <c r="D594" s="11" t="s">
        <v>1222</v>
      </c>
      <c r="E594" s="11">
        <v>1</v>
      </c>
      <c r="F594" s="5" t="s">
        <v>1287</v>
      </c>
      <c r="G594" s="11" t="s">
        <v>23</v>
      </c>
      <c r="H594" s="11" t="s">
        <v>24</v>
      </c>
      <c r="I594" s="11" t="s">
        <v>25</v>
      </c>
      <c r="J594" s="11" t="s">
        <v>26</v>
      </c>
      <c r="K594" s="52">
        <v>41844</v>
      </c>
      <c r="L594" s="50">
        <v>46084</v>
      </c>
      <c r="M594" s="11" t="s">
        <v>1224</v>
      </c>
      <c r="N594" s="11">
        <v>251976</v>
      </c>
      <c r="O594" s="55">
        <f t="shared" ref="O594:O610" si="13">N594*E594</f>
        <v>251976</v>
      </c>
      <c r="P594" s="11" t="s">
        <v>73</v>
      </c>
      <c r="Q594" s="5" t="s">
        <v>37</v>
      </c>
      <c r="R594" s="34">
        <v>8044464585</v>
      </c>
      <c r="S594" s="5" t="s">
        <v>1223</v>
      </c>
      <c r="T594" s="11" t="s">
        <v>643</v>
      </c>
      <c r="U594" s="11" t="s">
        <v>37</v>
      </c>
    </row>
    <row r="595" spans="1:21" s="1" customFormat="1" ht="14.4" x14ac:dyDescent="0.3">
      <c r="A595" s="11" t="s">
        <v>650</v>
      </c>
      <c r="B595" s="11" t="s">
        <v>651</v>
      </c>
      <c r="C595" s="11" t="s">
        <v>37</v>
      </c>
      <c r="D595" s="11" t="s">
        <v>1222</v>
      </c>
      <c r="E595" s="11">
        <v>1</v>
      </c>
      <c r="F595" s="5" t="s">
        <v>1287</v>
      </c>
      <c r="G595" s="11" t="s">
        <v>23</v>
      </c>
      <c r="H595" s="11" t="s">
        <v>24</v>
      </c>
      <c r="I595" s="11" t="s">
        <v>25</v>
      </c>
      <c r="J595" s="11" t="s">
        <v>26</v>
      </c>
      <c r="K595" s="52">
        <v>41844</v>
      </c>
      <c r="L595" s="50">
        <v>46084</v>
      </c>
      <c r="M595" s="11" t="s">
        <v>1224</v>
      </c>
      <c r="N595" s="11">
        <v>181000</v>
      </c>
      <c r="O595" s="55">
        <f t="shared" si="13"/>
        <v>181000</v>
      </c>
      <c r="P595" s="11" t="s">
        <v>73</v>
      </c>
      <c r="Q595" s="5" t="s">
        <v>37</v>
      </c>
      <c r="R595" s="34">
        <v>8044464585</v>
      </c>
      <c r="S595" s="5" t="s">
        <v>1223</v>
      </c>
      <c r="T595" s="11" t="s">
        <v>643</v>
      </c>
      <c r="U595" s="11" t="s">
        <v>37</v>
      </c>
    </row>
    <row r="596" spans="1:21" s="1" customFormat="1" ht="14.4" x14ac:dyDescent="0.3">
      <c r="A596" s="33" t="s">
        <v>724</v>
      </c>
      <c r="B596" s="11" t="s">
        <v>725</v>
      </c>
      <c r="C596" s="11" t="s">
        <v>37</v>
      </c>
      <c r="D596" s="11" t="s">
        <v>1222</v>
      </c>
      <c r="E596" s="11">
        <v>1</v>
      </c>
      <c r="F596" s="5" t="s">
        <v>638</v>
      </c>
      <c r="G596" s="11" t="s">
        <v>23</v>
      </c>
      <c r="H596" s="11" t="s">
        <v>24</v>
      </c>
      <c r="I596" s="11" t="s">
        <v>25</v>
      </c>
      <c r="J596" s="11" t="s">
        <v>26</v>
      </c>
      <c r="K596" s="52">
        <v>41164</v>
      </c>
      <c r="L596" s="50">
        <v>46032</v>
      </c>
      <c r="M596" s="5" t="s">
        <v>642</v>
      </c>
      <c r="N596" s="54">
        <v>44925.33</v>
      </c>
      <c r="O596" s="55">
        <f t="shared" si="13"/>
        <v>44925.33</v>
      </c>
      <c r="P596" s="11" t="s">
        <v>1170</v>
      </c>
      <c r="Q596" s="11" t="s">
        <v>37</v>
      </c>
      <c r="R596" s="11" t="s">
        <v>37</v>
      </c>
      <c r="S596" s="11" t="s">
        <v>37</v>
      </c>
      <c r="T596" s="11" t="s">
        <v>643</v>
      </c>
      <c r="U596" s="11" t="s">
        <v>37</v>
      </c>
    </row>
    <row r="597" spans="1:21" s="1" customFormat="1" ht="14.4" x14ac:dyDescent="0.3">
      <c r="A597" s="11" t="s">
        <v>646</v>
      </c>
      <c r="B597" s="11" t="s">
        <v>1225</v>
      </c>
      <c r="C597" s="11" t="s">
        <v>37</v>
      </c>
      <c r="D597" s="11" t="s">
        <v>1222</v>
      </c>
      <c r="E597" s="11">
        <v>1</v>
      </c>
      <c r="F597" s="5" t="s">
        <v>1287</v>
      </c>
      <c r="G597" s="11" t="s">
        <v>23</v>
      </c>
      <c r="H597" s="11" t="s">
        <v>24</v>
      </c>
      <c r="I597" s="11" t="s">
        <v>25</v>
      </c>
      <c r="J597" s="11" t="s">
        <v>26</v>
      </c>
      <c r="K597" s="52">
        <v>41844</v>
      </c>
      <c r="L597" s="50">
        <v>46084</v>
      </c>
      <c r="M597" s="11" t="s">
        <v>1224</v>
      </c>
      <c r="N597" s="11">
        <v>181000</v>
      </c>
      <c r="O597" s="55">
        <f t="shared" si="13"/>
        <v>181000</v>
      </c>
      <c r="P597" s="11" t="s">
        <v>73</v>
      </c>
      <c r="Q597" s="5" t="s">
        <v>37</v>
      </c>
      <c r="R597" s="34">
        <v>8044464585</v>
      </c>
      <c r="S597" s="5" t="s">
        <v>1223</v>
      </c>
      <c r="T597" s="11" t="s">
        <v>643</v>
      </c>
      <c r="U597" s="11" t="s">
        <v>37</v>
      </c>
    </row>
    <row r="598" spans="1:21" s="1" customFormat="1" ht="14.4" x14ac:dyDescent="0.3">
      <c r="A598" s="11" t="s">
        <v>637</v>
      </c>
      <c r="B598" s="11" t="s">
        <v>686</v>
      </c>
      <c r="C598" s="11" t="s">
        <v>37</v>
      </c>
      <c r="D598" s="11" t="s">
        <v>1222</v>
      </c>
      <c r="E598" s="11">
        <v>1</v>
      </c>
      <c r="F598" s="5" t="s">
        <v>1287</v>
      </c>
      <c r="G598" s="11" t="s">
        <v>23</v>
      </c>
      <c r="H598" s="11" t="s">
        <v>24</v>
      </c>
      <c r="I598" s="11" t="s">
        <v>25</v>
      </c>
      <c r="J598" s="11" t="s">
        <v>26</v>
      </c>
      <c r="K598" s="52">
        <v>41844</v>
      </c>
      <c r="L598" s="50">
        <v>46084</v>
      </c>
      <c r="M598" s="11" t="s">
        <v>1224</v>
      </c>
      <c r="N598" s="11">
        <v>266310</v>
      </c>
      <c r="O598" s="55">
        <f t="shared" si="13"/>
        <v>266310</v>
      </c>
      <c r="P598" s="11" t="s">
        <v>73</v>
      </c>
      <c r="Q598" s="5" t="s">
        <v>37</v>
      </c>
      <c r="R598" s="34">
        <v>8044464585</v>
      </c>
      <c r="S598" s="5" t="s">
        <v>1223</v>
      </c>
      <c r="T598" s="11" t="s">
        <v>643</v>
      </c>
      <c r="U598" s="11" t="s">
        <v>37</v>
      </c>
    </row>
    <row r="599" spans="1:21" s="1" customFormat="1" ht="14.4" x14ac:dyDescent="0.3">
      <c r="A599" s="11" t="s">
        <v>648</v>
      </c>
      <c r="B599" s="11" t="s">
        <v>681</v>
      </c>
      <c r="C599" s="11" t="s">
        <v>37</v>
      </c>
      <c r="D599" s="11" t="s">
        <v>1222</v>
      </c>
      <c r="E599" s="11">
        <v>1</v>
      </c>
      <c r="F599" s="5" t="s">
        <v>1287</v>
      </c>
      <c r="G599" s="11" t="s">
        <v>23</v>
      </c>
      <c r="H599" s="11" t="s">
        <v>24</v>
      </c>
      <c r="I599" s="11" t="s">
        <v>25</v>
      </c>
      <c r="J599" s="11" t="s">
        <v>26</v>
      </c>
      <c r="K599" s="52">
        <v>41844</v>
      </c>
      <c r="L599" s="50">
        <v>46084</v>
      </c>
      <c r="M599" s="11" t="s">
        <v>1224</v>
      </c>
      <c r="N599" s="11">
        <v>251976</v>
      </c>
      <c r="O599" s="55">
        <f t="shared" si="13"/>
        <v>251976</v>
      </c>
      <c r="P599" s="11" t="s">
        <v>73</v>
      </c>
      <c r="Q599" s="5" t="s">
        <v>37</v>
      </c>
      <c r="R599" s="34">
        <v>8044464585</v>
      </c>
      <c r="S599" s="5" t="s">
        <v>1223</v>
      </c>
      <c r="T599" s="11" t="s">
        <v>643</v>
      </c>
      <c r="U599" s="11" t="s">
        <v>37</v>
      </c>
    </row>
    <row r="600" spans="1:21" s="1" customFormat="1" ht="14.4" x14ac:dyDescent="0.3">
      <c r="A600" s="11" t="s">
        <v>650</v>
      </c>
      <c r="B600" s="11" t="s">
        <v>651</v>
      </c>
      <c r="C600" s="11" t="s">
        <v>37</v>
      </c>
      <c r="D600" s="11" t="s">
        <v>1222</v>
      </c>
      <c r="E600" s="11">
        <v>1</v>
      </c>
      <c r="F600" s="5" t="s">
        <v>1287</v>
      </c>
      <c r="G600" s="11" t="s">
        <v>23</v>
      </c>
      <c r="H600" s="11" t="s">
        <v>24</v>
      </c>
      <c r="I600" s="11" t="s">
        <v>25</v>
      </c>
      <c r="J600" s="11" t="s">
        <v>26</v>
      </c>
      <c r="K600" s="52">
        <v>41844</v>
      </c>
      <c r="L600" s="50">
        <v>46084</v>
      </c>
      <c r="M600" s="11" t="s">
        <v>1224</v>
      </c>
      <c r="N600" s="11">
        <v>181000</v>
      </c>
      <c r="O600" s="55">
        <f t="shared" si="13"/>
        <v>181000</v>
      </c>
      <c r="P600" s="11" t="s">
        <v>73</v>
      </c>
      <c r="Q600" s="5" t="s">
        <v>37</v>
      </c>
      <c r="R600" s="34">
        <v>8044464585</v>
      </c>
      <c r="S600" s="5" t="s">
        <v>1223</v>
      </c>
      <c r="T600" s="11" t="s">
        <v>643</v>
      </c>
      <c r="U600" s="11" t="s">
        <v>37</v>
      </c>
    </row>
    <row r="601" spans="1:21" s="1" customFormat="1" ht="14.4" x14ac:dyDescent="0.3">
      <c r="A601" s="33" t="s">
        <v>726</v>
      </c>
      <c r="B601" s="11" t="s">
        <v>727</v>
      </c>
      <c r="C601" s="11" t="s">
        <v>37</v>
      </c>
      <c r="D601" s="11" t="s">
        <v>1222</v>
      </c>
      <c r="E601" s="11">
        <v>1</v>
      </c>
      <c r="F601" s="5" t="s">
        <v>638</v>
      </c>
      <c r="G601" s="11" t="s">
        <v>23</v>
      </c>
      <c r="H601" s="11" t="s">
        <v>24</v>
      </c>
      <c r="I601" s="11" t="s">
        <v>25</v>
      </c>
      <c r="J601" s="11" t="s">
        <v>26</v>
      </c>
      <c r="K601" s="52">
        <v>41164</v>
      </c>
      <c r="L601" s="50">
        <v>46032</v>
      </c>
      <c r="M601" s="5" t="s">
        <v>642</v>
      </c>
      <c r="N601" s="54">
        <v>44925.33</v>
      </c>
      <c r="O601" s="55">
        <f t="shared" si="13"/>
        <v>44925.33</v>
      </c>
      <c r="P601" s="11" t="s">
        <v>1170</v>
      </c>
      <c r="Q601" s="11" t="s">
        <v>37</v>
      </c>
      <c r="R601" s="11" t="s">
        <v>37</v>
      </c>
      <c r="S601" s="11" t="s">
        <v>37</v>
      </c>
      <c r="T601" s="11" t="s">
        <v>643</v>
      </c>
      <c r="U601" s="11" t="s">
        <v>37</v>
      </c>
    </row>
    <row r="602" spans="1:21" s="1" customFormat="1" ht="14.4" x14ac:dyDescent="0.3">
      <c r="A602" s="11" t="s">
        <v>646</v>
      </c>
      <c r="B602" s="11" t="s">
        <v>1225</v>
      </c>
      <c r="C602" s="11" t="s">
        <v>37</v>
      </c>
      <c r="D602" s="11" t="s">
        <v>1222</v>
      </c>
      <c r="E602" s="11">
        <v>1</v>
      </c>
      <c r="F602" s="5" t="s">
        <v>1287</v>
      </c>
      <c r="G602" s="11" t="s">
        <v>23</v>
      </c>
      <c r="H602" s="11" t="s">
        <v>24</v>
      </c>
      <c r="I602" s="11" t="s">
        <v>25</v>
      </c>
      <c r="J602" s="11" t="s">
        <v>26</v>
      </c>
      <c r="K602" s="52">
        <v>41844</v>
      </c>
      <c r="L602" s="50">
        <v>46084</v>
      </c>
      <c r="M602" s="11" t="s">
        <v>1224</v>
      </c>
      <c r="N602" s="11">
        <v>181000</v>
      </c>
      <c r="O602" s="55">
        <f t="shared" si="13"/>
        <v>181000</v>
      </c>
      <c r="P602" s="11" t="s">
        <v>73</v>
      </c>
      <c r="Q602" s="5" t="s">
        <v>37</v>
      </c>
      <c r="R602" s="34">
        <v>8044464585</v>
      </c>
      <c r="S602" s="5" t="s">
        <v>1223</v>
      </c>
      <c r="T602" s="11" t="s">
        <v>643</v>
      </c>
      <c r="U602" s="11" t="s">
        <v>37</v>
      </c>
    </row>
    <row r="603" spans="1:21" s="1" customFormat="1" ht="14.4" x14ac:dyDescent="0.3">
      <c r="A603" s="11" t="s">
        <v>637</v>
      </c>
      <c r="B603" s="11" t="s">
        <v>686</v>
      </c>
      <c r="C603" s="11" t="s">
        <v>37</v>
      </c>
      <c r="D603" s="11" t="s">
        <v>1222</v>
      </c>
      <c r="E603" s="11">
        <v>1</v>
      </c>
      <c r="F603" s="5" t="s">
        <v>1287</v>
      </c>
      <c r="G603" s="11" t="s">
        <v>23</v>
      </c>
      <c r="H603" s="11" t="s">
        <v>24</v>
      </c>
      <c r="I603" s="11" t="s">
        <v>25</v>
      </c>
      <c r="J603" s="11" t="s">
        <v>26</v>
      </c>
      <c r="K603" s="52">
        <v>41844</v>
      </c>
      <c r="L603" s="50">
        <v>46084</v>
      </c>
      <c r="M603" s="11" t="s">
        <v>1224</v>
      </c>
      <c r="N603" s="11">
        <v>266310</v>
      </c>
      <c r="O603" s="55">
        <f t="shared" si="13"/>
        <v>266310</v>
      </c>
      <c r="P603" s="11" t="s">
        <v>73</v>
      </c>
      <c r="Q603" s="5" t="s">
        <v>37</v>
      </c>
      <c r="R603" s="34">
        <v>8044464585</v>
      </c>
      <c r="S603" s="5" t="s">
        <v>1223</v>
      </c>
      <c r="T603" s="11" t="s">
        <v>643</v>
      </c>
      <c r="U603" s="11" t="s">
        <v>37</v>
      </c>
    </row>
    <row r="604" spans="1:21" s="1" customFormat="1" ht="14.4" x14ac:dyDescent="0.3">
      <c r="A604" s="11" t="s">
        <v>648</v>
      </c>
      <c r="B604" s="11" t="s">
        <v>681</v>
      </c>
      <c r="C604" s="11" t="s">
        <v>37</v>
      </c>
      <c r="D604" s="11" t="s">
        <v>1222</v>
      </c>
      <c r="E604" s="11">
        <v>1</v>
      </c>
      <c r="F604" s="5" t="s">
        <v>1287</v>
      </c>
      <c r="G604" s="11" t="s">
        <v>23</v>
      </c>
      <c r="H604" s="11" t="s">
        <v>24</v>
      </c>
      <c r="I604" s="11" t="s">
        <v>25</v>
      </c>
      <c r="J604" s="11" t="s">
        <v>26</v>
      </c>
      <c r="K604" s="52">
        <v>41844</v>
      </c>
      <c r="L604" s="50">
        <v>46084</v>
      </c>
      <c r="M604" s="11" t="s">
        <v>1224</v>
      </c>
      <c r="N604" s="11">
        <v>251976</v>
      </c>
      <c r="O604" s="55">
        <f t="shared" si="13"/>
        <v>251976</v>
      </c>
      <c r="P604" s="11" t="s">
        <v>73</v>
      </c>
      <c r="Q604" s="5" t="s">
        <v>37</v>
      </c>
      <c r="R604" s="34">
        <v>8044464585</v>
      </c>
      <c r="S604" s="5" t="s">
        <v>1223</v>
      </c>
      <c r="T604" s="11" t="s">
        <v>643</v>
      </c>
      <c r="U604" s="11" t="s">
        <v>37</v>
      </c>
    </row>
    <row r="605" spans="1:21" s="1" customFormat="1" ht="14.4" x14ac:dyDescent="0.3">
      <c r="A605" s="11" t="s">
        <v>650</v>
      </c>
      <c r="B605" s="11" t="s">
        <v>651</v>
      </c>
      <c r="C605" s="11" t="s">
        <v>37</v>
      </c>
      <c r="D605" s="11" t="s">
        <v>1222</v>
      </c>
      <c r="E605" s="11">
        <v>1</v>
      </c>
      <c r="F605" s="5" t="s">
        <v>1287</v>
      </c>
      <c r="G605" s="11" t="s">
        <v>23</v>
      </c>
      <c r="H605" s="11" t="s">
        <v>24</v>
      </c>
      <c r="I605" s="11" t="s">
        <v>25</v>
      </c>
      <c r="J605" s="11" t="s">
        <v>26</v>
      </c>
      <c r="K605" s="52">
        <v>41844</v>
      </c>
      <c r="L605" s="50">
        <v>46084</v>
      </c>
      <c r="M605" s="11" t="s">
        <v>1224</v>
      </c>
      <c r="N605" s="11">
        <v>181000</v>
      </c>
      <c r="O605" s="55">
        <f t="shared" si="13"/>
        <v>181000</v>
      </c>
      <c r="P605" s="11" t="s">
        <v>73</v>
      </c>
      <c r="Q605" s="5" t="s">
        <v>37</v>
      </c>
      <c r="R605" s="34">
        <v>8044464585</v>
      </c>
      <c r="S605" s="5" t="s">
        <v>1223</v>
      </c>
      <c r="T605" s="11" t="s">
        <v>643</v>
      </c>
      <c r="U605" s="11" t="s">
        <v>37</v>
      </c>
    </row>
    <row r="606" spans="1:21" s="1" customFormat="1" ht="14.4" x14ac:dyDescent="0.3">
      <c r="A606" s="33" t="s">
        <v>728</v>
      </c>
      <c r="B606" s="11" t="s">
        <v>729</v>
      </c>
      <c r="C606" s="11" t="s">
        <v>37</v>
      </c>
      <c r="D606" s="11" t="s">
        <v>1222</v>
      </c>
      <c r="E606" s="11">
        <v>1</v>
      </c>
      <c r="F606" s="5" t="s">
        <v>638</v>
      </c>
      <c r="G606" s="11" t="s">
        <v>23</v>
      </c>
      <c r="H606" s="11" t="s">
        <v>24</v>
      </c>
      <c r="I606" s="11" t="s">
        <v>25</v>
      </c>
      <c r="J606" s="11" t="s">
        <v>26</v>
      </c>
      <c r="K606" s="52">
        <v>41164</v>
      </c>
      <c r="L606" s="50">
        <v>46032</v>
      </c>
      <c r="M606" s="5" t="s">
        <v>642</v>
      </c>
      <c r="N606" s="54">
        <v>44925.33</v>
      </c>
      <c r="O606" s="55">
        <f t="shared" si="13"/>
        <v>44925.33</v>
      </c>
      <c r="P606" s="11" t="s">
        <v>1170</v>
      </c>
      <c r="Q606" s="11" t="s">
        <v>37</v>
      </c>
      <c r="R606" s="11" t="s">
        <v>37</v>
      </c>
      <c r="S606" s="11" t="s">
        <v>37</v>
      </c>
      <c r="T606" s="11" t="s">
        <v>643</v>
      </c>
      <c r="U606" s="11" t="s">
        <v>37</v>
      </c>
    </row>
    <row r="607" spans="1:21" s="1" customFormat="1" ht="14.4" x14ac:dyDescent="0.3">
      <c r="A607" s="11" t="s">
        <v>646</v>
      </c>
      <c r="B607" s="11" t="s">
        <v>1225</v>
      </c>
      <c r="C607" s="11" t="s">
        <v>37</v>
      </c>
      <c r="D607" s="11" t="s">
        <v>1222</v>
      </c>
      <c r="E607" s="11">
        <v>1</v>
      </c>
      <c r="F607" s="5" t="s">
        <v>1287</v>
      </c>
      <c r="G607" s="11" t="s">
        <v>23</v>
      </c>
      <c r="H607" s="11" t="s">
        <v>24</v>
      </c>
      <c r="I607" s="11" t="s">
        <v>25</v>
      </c>
      <c r="J607" s="11" t="s">
        <v>26</v>
      </c>
      <c r="K607" s="52">
        <v>41844</v>
      </c>
      <c r="L607" s="50">
        <v>46084</v>
      </c>
      <c r="M607" s="11" t="s">
        <v>1224</v>
      </c>
      <c r="N607" s="11">
        <v>181000</v>
      </c>
      <c r="O607" s="55">
        <f t="shared" si="13"/>
        <v>181000</v>
      </c>
      <c r="P607" s="11" t="s">
        <v>73</v>
      </c>
      <c r="Q607" s="5" t="s">
        <v>37</v>
      </c>
      <c r="R607" s="34">
        <v>8044464585</v>
      </c>
      <c r="S607" s="5" t="s">
        <v>1223</v>
      </c>
      <c r="T607" s="11" t="s">
        <v>643</v>
      </c>
      <c r="U607" s="11" t="s">
        <v>37</v>
      </c>
    </row>
    <row r="608" spans="1:21" s="1" customFormat="1" ht="14.4" x14ac:dyDescent="0.3">
      <c r="A608" s="11" t="s">
        <v>637</v>
      </c>
      <c r="B608" s="11" t="s">
        <v>686</v>
      </c>
      <c r="C608" s="11" t="s">
        <v>37</v>
      </c>
      <c r="D608" s="11" t="s">
        <v>1222</v>
      </c>
      <c r="E608" s="11">
        <v>1</v>
      </c>
      <c r="F608" s="5" t="s">
        <v>1287</v>
      </c>
      <c r="G608" s="11" t="s">
        <v>23</v>
      </c>
      <c r="H608" s="11" t="s">
        <v>24</v>
      </c>
      <c r="I608" s="11" t="s">
        <v>25</v>
      </c>
      <c r="J608" s="11" t="s">
        <v>26</v>
      </c>
      <c r="K608" s="52">
        <v>41844</v>
      </c>
      <c r="L608" s="50">
        <v>46084</v>
      </c>
      <c r="M608" s="11" t="s">
        <v>1224</v>
      </c>
      <c r="N608" s="11">
        <v>266310</v>
      </c>
      <c r="O608" s="55">
        <f t="shared" si="13"/>
        <v>266310</v>
      </c>
      <c r="P608" s="11" t="s">
        <v>73</v>
      </c>
      <c r="Q608" s="5" t="s">
        <v>37</v>
      </c>
      <c r="R608" s="34">
        <v>8044464585</v>
      </c>
      <c r="S608" s="5" t="s">
        <v>1223</v>
      </c>
      <c r="T608" s="11" t="s">
        <v>643</v>
      </c>
      <c r="U608" s="11" t="s">
        <v>37</v>
      </c>
    </row>
    <row r="609" spans="1:21" s="1" customFormat="1" ht="14.4" x14ac:dyDescent="0.3">
      <c r="A609" s="11" t="s">
        <v>648</v>
      </c>
      <c r="B609" s="11" t="s">
        <v>681</v>
      </c>
      <c r="C609" s="11" t="s">
        <v>37</v>
      </c>
      <c r="D609" s="11" t="s">
        <v>1222</v>
      </c>
      <c r="E609" s="11">
        <v>1</v>
      </c>
      <c r="F609" s="5" t="s">
        <v>1287</v>
      </c>
      <c r="G609" s="11" t="s">
        <v>23</v>
      </c>
      <c r="H609" s="11" t="s">
        <v>24</v>
      </c>
      <c r="I609" s="11" t="s">
        <v>25</v>
      </c>
      <c r="J609" s="11" t="s">
        <v>26</v>
      </c>
      <c r="K609" s="52">
        <v>41844</v>
      </c>
      <c r="L609" s="50">
        <v>46084</v>
      </c>
      <c r="M609" s="11" t="s">
        <v>1224</v>
      </c>
      <c r="N609" s="11">
        <v>251976</v>
      </c>
      <c r="O609" s="55">
        <f t="shared" si="13"/>
        <v>251976</v>
      </c>
      <c r="P609" s="11" t="s">
        <v>73</v>
      </c>
      <c r="Q609" s="5" t="s">
        <v>37</v>
      </c>
      <c r="R609" s="34">
        <v>8044464585</v>
      </c>
      <c r="S609" s="5" t="s">
        <v>1223</v>
      </c>
      <c r="T609" s="11" t="s">
        <v>643</v>
      </c>
      <c r="U609" s="11" t="s">
        <v>37</v>
      </c>
    </row>
    <row r="610" spans="1:21" s="1" customFormat="1" ht="14.4" x14ac:dyDescent="0.3">
      <c r="A610" s="11" t="s">
        <v>650</v>
      </c>
      <c r="B610" s="11" t="s">
        <v>651</v>
      </c>
      <c r="C610" s="11" t="s">
        <v>37</v>
      </c>
      <c r="D610" s="11" t="s">
        <v>1222</v>
      </c>
      <c r="E610" s="11">
        <v>1</v>
      </c>
      <c r="F610" s="5" t="s">
        <v>1287</v>
      </c>
      <c r="G610" s="11" t="s">
        <v>23</v>
      </c>
      <c r="H610" s="11" t="s">
        <v>24</v>
      </c>
      <c r="I610" s="11" t="s">
        <v>25</v>
      </c>
      <c r="J610" s="11" t="s">
        <v>26</v>
      </c>
      <c r="K610" s="52">
        <v>41844</v>
      </c>
      <c r="L610" s="50">
        <v>46084</v>
      </c>
      <c r="M610" s="11" t="s">
        <v>1224</v>
      </c>
      <c r="N610" s="11">
        <v>181000</v>
      </c>
      <c r="O610" s="55">
        <f t="shared" si="13"/>
        <v>181000</v>
      </c>
      <c r="P610" s="11" t="s">
        <v>73</v>
      </c>
      <c r="Q610" s="5" t="s">
        <v>37</v>
      </c>
      <c r="R610" s="34">
        <v>8044464585</v>
      </c>
      <c r="S610" s="5" t="s">
        <v>1223</v>
      </c>
      <c r="T610" s="11" t="s">
        <v>643</v>
      </c>
      <c r="U610" s="11" t="s">
        <v>37</v>
      </c>
    </row>
    <row r="611" spans="1:21" s="1" customFormat="1" ht="14.4" x14ac:dyDescent="0.3">
      <c r="A611" s="33" t="s">
        <v>730</v>
      </c>
      <c r="B611" s="11" t="s">
        <v>731</v>
      </c>
      <c r="C611" s="11" t="s">
        <v>37</v>
      </c>
      <c r="D611" s="11" t="s">
        <v>1222</v>
      </c>
      <c r="E611" s="11">
        <v>1</v>
      </c>
      <c r="F611" s="5" t="s">
        <v>1244</v>
      </c>
      <c r="G611" s="11" t="s">
        <v>23</v>
      </c>
      <c r="H611" s="11" t="s">
        <v>24</v>
      </c>
      <c r="I611" s="11" t="s">
        <v>25</v>
      </c>
      <c r="J611" s="11" t="s">
        <v>26</v>
      </c>
      <c r="K611" s="52" t="s">
        <v>37</v>
      </c>
      <c r="L611" s="52" t="s">
        <v>37</v>
      </c>
      <c r="M611" s="52" t="s">
        <v>37</v>
      </c>
      <c r="N611" s="52" t="s">
        <v>37</v>
      </c>
      <c r="O611" s="52" t="s">
        <v>37</v>
      </c>
      <c r="P611" s="11" t="s">
        <v>1170</v>
      </c>
      <c r="Q611" s="11" t="s">
        <v>37</v>
      </c>
      <c r="R611" s="11" t="s">
        <v>37</v>
      </c>
      <c r="S611" s="11" t="s">
        <v>37</v>
      </c>
      <c r="T611" s="11" t="s">
        <v>643</v>
      </c>
      <c r="U611" s="11" t="s">
        <v>37</v>
      </c>
    </row>
    <row r="612" spans="1:21" s="1" customFormat="1" ht="14.4" x14ac:dyDescent="0.3">
      <c r="A612" s="11" t="s">
        <v>646</v>
      </c>
      <c r="B612" s="11" t="s">
        <v>1225</v>
      </c>
      <c r="C612" s="11" t="s">
        <v>37</v>
      </c>
      <c r="D612" s="11" t="s">
        <v>1222</v>
      </c>
      <c r="E612" s="11">
        <v>1</v>
      </c>
      <c r="F612" s="5" t="s">
        <v>1244</v>
      </c>
      <c r="G612" s="11" t="s">
        <v>23</v>
      </c>
      <c r="H612" s="11" t="s">
        <v>24</v>
      </c>
      <c r="I612" s="11" t="s">
        <v>25</v>
      </c>
      <c r="J612" s="11" t="s">
        <v>26</v>
      </c>
      <c r="K612" s="52" t="s">
        <v>37</v>
      </c>
      <c r="L612" s="52" t="s">
        <v>37</v>
      </c>
      <c r="M612" s="52" t="s">
        <v>37</v>
      </c>
      <c r="N612" s="52" t="s">
        <v>37</v>
      </c>
      <c r="O612" s="52" t="s">
        <v>37</v>
      </c>
      <c r="P612" s="11" t="s">
        <v>73</v>
      </c>
      <c r="Q612" s="52" t="s">
        <v>37</v>
      </c>
      <c r="R612" s="52" t="s">
        <v>37</v>
      </c>
      <c r="S612" s="52" t="s">
        <v>37</v>
      </c>
      <c r="T612" s="52" t="s">
        <v>37</v>
      </c>
      <c r="U612" s="11" t="s">
        <v>37</v>
      </c>
    </row>
    <row r="613" spans="1:21" s="1" customFormat="1" ht="14.4" x14ac:dyDescent="0.3">
      <c r="A613" s="11" t="s">
        <v>637</v>
      </c>
      <c r="B613" s="11" t="s">
        <v>686</v>
      </c>
      <c r="C613" s="11" t="s">
        <v>37</v>
      </c>
      <c r="D613" s="11" t="s">
        <v>1222</v>
      </c>
      <c r="E613" s="11">
        <v>1</v>
      </c>
      <c r="F613" s="5" t="s">
        <v>1244</v>
      </c>
      <c r="G613" s="11" t="s">
        <v>23</v>
      </c>
      <c r="H613" s="11" t="s">
        <v>24</v>
      </c>
      <c r="I613" s="11" t="s">
        <v>25</v>
      </c>
      <c r="J613" s="11" t="s">
        <v>26</v>
      </c>
      <c r="K613" s="52" t="s">
        <v>37</v>
      </c>
      <c r="L613" s="52" t="s">
        <v>37</v>
      </c>
      <c r="M613" s="52" t="s">
        <v>37</v>
      </c>
      <c r="N613" s="52" t="s">
        <v>37</v>
      </c>
      <c r="O613" s="52" t="s">
        <v>37</v>
      </c>
      <c r="P613" s="11" t="s">
        <v>73</v>
      </c>
      <c r="Q613" s="5" t="s">
        <v>37</v>
      </c>
      <c r="R613" s="5" t="s">
        <v>37</v>
      </c>
      <c r="S613" s="5" t="s">
        <v>37</v>
      </c>
      <c r="T613" s="5" t="s">
        <v>37</v>
      </c>
      <c r="U613" s="11" t="s">
        <v>37</v>
      </c>
    </row>
    <row r="614" spans="1:21" s="1" customFormat="1" ht="14.4" x14ac:dyDescent="0.3">
      <c r="A614" s="11" t="s">
        <v>648</v>
      </c>
      <c r="B614" s="11" t="s">
        <v>681</v>
      </c>
      <c r="C614" s="11" t="s">
        <v>37</v>
      </c>
      <c r="D614" s="11" t="s">
        <v>1222</v>
      </c>
      <c r="E614" s="11">
        <v>1</v>
      </c>
      <c r="F614" s="5" t="s">
        <v>1244</v>
      </c>
      <c r="G614" s="11" t="s">
        <v>23</v>
      </c>
      <c r="H614" s="11" t="s">
        <v>24</v>
      </c>
      <c r="I614" s="11" t="s">
        <v>25</v>
      </c>
      <c r="J614" s="11" t="s">
        <v>26</v>
      </c>
      <c r="K614" s="52" t="s">
        <v>37</v>
      </c>
      <c r="L614" s="52" t="s">
        <v>37</v>
      </c>
      <c r="M614" s="52" t="s">
        <v>37</v>
      </c>
      <c r="N614" s="52" t="s">
        <v>37</v>
      </c>
      <c r="O614" s="52" t="s">
        <v>37</v>
      </c>
      <c r="P614" s="11" t="s">
        <v>73</v>
      </c>
      <c r="Q614" s="5" t="s">
        <v>37</v>
      </c>
      <c r="R614" s="5" t="s">
        <v>37</v>
      </c>
      <c r="S614" s="5" t="s">
        <v>37</v>
      </c>
      <c r="T614" s="5" t="s">
        <v>37</v>
      </c>
      <c r="U614" s="11" t="s">
        <v>37</v>
      </c>
    </row>
    <row r="615" spans="1:21" s="1" customFormat="1" ht="14.4" x14ac:dyDescent="0.3">
      <c r="A615" s="11" t="s">
        <v>650</v>
      </c>
      <c r="B615" s="11" t="s">
        <v>651</v>
      </c>
      <c r="C615" s="11" t="s">
        <v>37</v>
      </c>
      <c r="D615" s="11" t="s">
        <v>1222</v>
      </c>
      <c r="E615" s="11">
        <v>1</v>
      </c>
      <c r="F615" s="5" t="s">
        <v>1244</v>
      </c>
      <c r="G615" s="11" t="s">
        <v>23</v>
      </c>
      <c r="H615" s="11" t="s">
        <v>24</v>
      </c>
      <c r="I615" s="11" t="s">
        <v>25</v>
      </c>
      <c r="J615" s="11" t="s">
        <v>26</v>
      </c>
      <c r="K615" s="52" t="s">
        <v>37</v>
      </c>
      <c r="L615" s="52" t="s">
        <v>37</v>
      </c>
      <c r="M615" s="52" t="s">
        <v>37</v>
      </c>
      <c r="N615" s="52" t="s">
        <v>37</v>
      </c>
      <c r="O615" s="52" t="s">
        <v>37</v>
      </c>
      <c r="P615" s="11" t="s">
        <v>73</v>
      </c>
      <c r="Q615" s="52" t="s">
        <v>37</v>
      </c>
      <c r="R615" s="52" t="s">
        <v>37</v>
      </c>
      <c r="S615" s="52" t="s">
        <v>37</v>
      </c>
      <c r="T615" s="52" t="s">
        <v>37</v>
      </c>
      <c r="U615" s="11" t="s">
        <v>37</v>
      </c>
    </row>
    <row r="616" spans="1:21" s="1" customFormat="1" ht="14.4" x14ac:dyDescent="0.3">
      <c r="A616" s="33" t="s">
        <v>732</v>
      </c>
      <c r="B616" s="11" t="s">
        <v>733</v>
      </c>
      <c r="C616" s="11" t="s">
        <v>37</v>
      </c>
      <c r="D616" s="11" t="s">
        <v>1222</v>
      </c>
      <c r="E616" s="11">
        <v>1</v>
      </c>
      <c r="F616" s="5" t="s">
        <v>1244</v>
      </c>
      <c r="G616" s="11" t="s">
        <v>23</v>
      </c>
      <c r="H616" s="11" t="s">
        <v>24</v>
      </c>
      <c r="I616" s="11" t="s">
        <v>25</v>
      </c>
      <c r="J616" s="11" t="s">
        <v>26</v>
      </c>
      <c r="K616" s="52" t="s">
        <v>37</v>
      </c>
      <c r="L616" s="52" t="s">
        <v>37</v>
      </c>
      <c r="M616" s="52" t="s">
        <v>37</v>
      </c>
      <c r="N616" s="52" t="s">
        <v>37</v>
      </c>
      <c r="O616" s="52" t="s">
        <v>37</v>
      </c>
      <c r="P616" s="11" t="s">
        <v>1170</v>
      </c>
      <c r="Q616" s="11" t="s">
        <v>37</v>
      </c>
      <c r="R616" s="11" t="s">
        <v>37</v>
      </c>
      <c r="S616" s="11" t="s">
        <v>37</v>
      </c>
      <c r="T616" s="11" t="s">
        <v>643</v>
      </c>
      <c r="U616" s="11" t="s">
        <v>37</v>
      </c>
    </row>
    <row r="617" spans="1:21" s="1" customFormat="1" ht="14.4" x14ac:dyDescent="0.3">
      <c r="A617" s="11" t="s">
        <v>646</v>
      </c>
      <c r="B617" s="11" t="s">
        <v>1225</v>
      </c>
      <c r="C617" s="11" t="s">
        <v>37</v>
      </c>
      <c r="D617" s="11" t="s">
        <v>1222</v>
      </c>
      <c r="E617" s="11">
        <v>1</v>
      </c>
      <c r="F617" s="5" t="s">
        <v>1244</v>
      </c>
      <c r="G617" s="11" t="s">
        <v>23</v>
      </c>
      <c r="H617" s="11" t="s">
        <v>24</v>
      </c>
      <c r="I617" s="11" t="s">
        <v>25</v>
      </c>
      <c r="J617" s="11" t="s">
        <v>26</v>
      </c>
      <c r="K617" s="52" t="s">
        <v>37</v>
      </c>
      <c r="L617" s="52" t="s">
        <v>37</v>
      </c>
      <c r="M617" s="52" t="s">
        <v>37</v>
      </c>
      <c r="N617" s="52" t="s">
        <v>37</v>
      </c>
      <c r="O617" s="52" t="s">
        <v>37</v>
      </c>
      <c r="P617" s="11" t="s">
        <v>73</v>
      </c>
      <c r="Q617" s="52" t="s">
        <v>37</v>
      </c>
      <c r="R617" s="52" t="s">
        <v>37</v>
      </c>
      <c r="S617" s="52" t="s">
        <v>37</v>
      </c>
      <c r="T617" s="52" t="s">
        <v>37</v>
      </c>
      <c r="U617" s="11" t="s">
        <v>37</v>
      </c>
    </row>
    <row r="618" spans="1:21" s="1" customFormat="1" ht="14.4" x14ac:dyDescent="0.3">
      <c r="A618" s="11" t="s">
        <v>637</v>
      </c>
      <c r="B618" s="11" t="s">
        <v>686</v>
      </c>
      <c r="C618" s="11" t="s">
        <v>37</v>
      </c>
      <c r="D618" s="11" t="s">
        <v>1222</v>
      </c>
      <c r="E618" s="11">
        <v>1</v>
      </c>
      <c r="F618" s="5" t="s">
        <v>1244</v>
      </c>
      <c r="G618" s="11" t="s">
        <v>23</v>
      </c>
      <c r="H618" s="11" t="s">
        <v>24</v>
      </c>
      <c r="I618" s="11" t="s">
        <v>25</v>
      </c>
      <c r="J618" s="11" t="s">
        <v>26</v>
      </c>
      <c r="K618" s="52" t="s">
        <v>37</v>
      </c>
      <c r="L618" s="52" t="s">
        <v>37</v>
      </c>
      <c r="M618" s="52" t="s">
        <v>37</v>
      </c>
      <c r="N618" s="52" t="s">
        <v>37</v>
      </c>
      <c r="O618" s="52" t="s">
        <v>37</v>
      </c>
      <c r="P618" s="11" t="s">
        <v>73</v>
      </c>
      <c r="Q618" s="5" t="s">
        <v>37</v>
      </c>
      <c r="R618" s="5" t="s">
        <v>37</v>
      </c>
      <c r="S618" s="5" t="s">
        <v>37</v>
      </c>
      <c r="T618" s="5" t="s">
        <v>37</v>
      </c>
      <c r="U618" s="11" t="s">
        <v>37</v>
      </c>
    </row>
    <row r="619" spans="1:21" s="1" customFormat="1" ht="14.4" x14ac:dyDescent="0.3">
      <c r="A619" s="11" t="s">
        <v>648</v>
      </c>
      <c r="B619" s="11" t="s">
        <v>681</v>
      </c>
      <c r="C619" s="11" t="s">
        <v>37</v>
      </c>
      <c r="D619" s="11" t="s">
        <v>1222</v>
      </c>
      <c r="E619" s="11">
        <v>1</v>
      </c>
      <c r="F619" s="5" t="s">
        <v>1244</v>
      </c>
      <c r="G619" s="11" t="s">
        <v>23</v>
      </c>
      <c r="H619" s="11" t="s">
        <v>24</v>
      </c>
      <c r="I619" s="11" t="s">
        <v>25</v>
      </c>
      <c r="J619" s="11" t="s">
        <v>26</v>
      </c>
      <c r="K619" s="52" t="s">
        <v>37</v>
      </c>
      <c r="L619" s="52" t="s">
        <v>37</v>
      </c>
      <c r="M619" s="52" t="s">
        <v>37</v>
      </c>
      <c r="N619" s="52" t="s">
        <v>37</v>
      </c>
      <c r="O619" s="52" t="s">
        <v>37</v>
      </c>
      <c r="P619" s="11" t="s">
        <v>73</v>
      </c>
      <c r="Q619" s="5" t="s">
        <v>37</v>
      </c>
      <c r="R619" s="5" t="s">
        <v>37</v>
      </c>
      <c r="S619" s="5" t="s">
        <v>37</v>
      </c>
      <c r="T619" s="5" t="s">
        <v>37</v>
      </c>
      <c r="U619" s="11" t="s">
        <v>37</v>
      </c>
    </row>
    <row r="620" spans="1:21" s="1" customFormat="1" ht="14.4" x14ac:dyDescent="0.3">
      <c r="A620" s="11" t="s">
        <v>650</v>
      </c>
      <c r="B620" s="11" t="s">
        <v>651</v>
      </c>
      <c r="C620" s="11" t="s">
        <v>37</v>
      </c>
      <c r="D620" s="11" t="s">
        <v>1222</v>
      </c>
      <c r="E620" s="11">
        <v>1</v>
      </c>
      <c r="F620" s="5" t="s">
        <v>1244</v>
      </c>
      <c r="G620" s="11" t="s">
        <v>23</v>
      </c>
      <c r="H620" s="11" t="s">
        <v>24</v>
      </c>
      <c r="I620" s="11" t="s">
        <v>25</v>
      </c>
      <c r="J620" s="11" t="s">
        <v>26</v>
      </c>
      <c r="K620" s="52" t="s">
        <v>37</v>
      </c>
      <c r="L620" s="52" t="s">
        <v>37</v>
      </c>
      <c r="M620" s="52" t="s">
        <v>37</v>
      </c>
      <c r="N620" s="52" t="s">
        <v>37</v>
      </c>
      <c r="O620" s="52" t="s">
        <v>37</v>
      </c>
      <c r="P620" s="11" t="s">
        <v>73</v>
      </c>
      <c r="Q620" s="52" t="s">
        <v>37</v>
      </c>
      <c r="R620" s="52" t="s">
        <v>37</v>
      </c>
      <c r="S620" s="52" t="s">
        <v>37</v>
      </c>
      <c r="T620" s="52" t="s">
        <v>37</v>
      </c>
      <c r="U620" s="11" t="s">
        <v>37</v>
      </c>
    </row>
    <row r="621" spans="1:21" s="1" customFormat="1" ht="26.4" x14ac:dyDescent="0.3">
      <c r="A621" s="11" t="s">
        <v>734</v>
      </c>
      <c r="B621" s="11" t="s">
        <v>406</v>
      </c>
      <c r="C621" s="34" t="s">
        <v>406</v>
      </c>
      <c r="D621" s="11" t="s">
        <v>590</v>
      </c>
      <c r="E621" s="11">
        <v>1</v>
      </c>
      <c r="F621" s="5" t="s">
        <v>1196</v>
      </c>
      <c r="G621" s="11" t="s">
        <v>23</v>
      </c>
      <c r="H621" s="11" t="s">
        <v>24</v>
      </c>
      <c r="I621" s="11" t="s">
        <v>25</v>
      </c>
      <c r="J621" s="11" t="s">
        <v>26</v>
      </c>
      <c r="K621" s="52">
        <v>41830</v>
      </c>
      <c r="L621" s="91">
        <v>46079</v>
      </c>
      <c r="M621" s="5" t="s">
        <v>1201</v>
      </c>
      <c r="N621" s="55">
        <v>6920</v>
      </c>
      <c r="O621" s="55">
        <f t="shared" ref="O621:O652" si="14">N621*E621</f>
        <v>6920</v>
      </c>
      <c r="P621" s="11" t="s">
        <v>73</v>
      </c>
      <c r="Q621" s="5" t="s">
        <v>1197</v>
      </c>
      <c r="R621" s="5" t="s">
        <v>586</v>
      </c>
      <c r="S621" s="5" t="s">
        <v>1198</v>
      </c>
      <c r="T621" s="34"/>
      <c r="U621" s="73" t="s">
        <v>734</v>
      </c>
    </row>
    <row r="622" spans="1:21" s="1" customFormat="1" ht="26.4" x14ac:dyDescent="0.3">
      <c r="A622" s="11" t="s">
        <v>735</v>
      </c>
      <c r="B622" s="11" t="s">
        <v>736</v>
      </c>
      <c r="C622" s="11" t="s">
        <v>37</v>
      </c>
      <c r="D622" s="11" t="s">
        <v>590</v>
      </c>
      <c r="E622" s="11">
        <v>1</v>
      </c>
      <c r="F622" s="11" t="s">
        <v>603</v>
      </c>
      <c r="G622" s="11" t="s">
        <v>23</v>
      </c>
      <c r="H622" s="11" t="s">
        <v>24</v>
      </c>
      <c r="I622" s="11" t="s">
        <v>25</v>
      </c>
      <c r="J622" s="11" t="s">
        <v>26</v>
      </c>
      <c r="K622" s="50">
        <v>45281</v>
      </c>
      <c r="L622" s="50">
        <v>46051</v>
      </c>
      <c r="M622" s="11" t="s">
        <v>1367</v>
      </c>
      <c r="N622" s="11">
        <v>65800</v>
      </c>
      <c r="O622" s="55">
        <f t="shared" si="14"/>
        <v>65800</v>
      </c>
      <c r="P622" s="11" t="s">
        <v>73</v>
      </c>
      <c r="Q622" s="45" t="s">
        <v>605</v>
      </c>
      <c r="R622" s="5" t="s">
        <v>606</v>
      </c>
      <c r="S622" s="5" t="s">
        <v>607</v>
      </c>
      <c r="T622" s="11" t="s">
        <v>41</v>
      </c>
      <c r="U622" s="73" t="s">
        <v>735</v>
      </c>
    </row>
    <row r="623" spans="1:21" s="1" customFormat="1" ht="26.4" x14ac:dyDescent="0.3">
      <c r="A623" s="5" t="s">
        <v>737</v>
      </c>
      <c r="B623" s="5" t="s">
        <v>1261</v>
      </c>
      <c r="C623" s="5" t="s">
        <v>483</v>
      </c>
      <c r="D623" s="5" t="s">
        <v>590</v>
      </c>
      <c r="E623" s="5">
        <v>4</v>
      </c>
      <c r="F623" s="5" t="s">
        <v>1257</v>
      </c>
      <c r="G623" s="5" t="s">
        <v>23</v>
      </c>
      <c r="H623" s="11" t="s">
        <v>311</v>
      </c>
      <c r="I623" s="5" t="s">
        <v>25</v>
      </c>
      <c r="J623" s="5" t="s">
        <v>26</v>
      </c>
      <c r="K623" s="52">
        <v>45121</v>
      </c>
      <c r="L623" s="52">
        <v>46085</v>
      </c>
      <c r="M623" s="5" t="s">
        <v>1258</v>
      </c>
      <c r="N623" s="5">
        <v>1169.7</v>
      </c>
      <c r="O623" s="55">
        <f t="shared" si="14"/>
        <v>4678.8</v>
      </c>
      <c r="P623" s="11" t="s">
        <v>50</v>
      </c>
      <c r="Q623" s="43" t="s">
        <v>1259</v>
      </c>
      <c r="R623" s="5">
        <v>9820023829</v>
      </c>
      <c r="S623" s="5" t="s">
        <v>1260</v>
      </c>
      <c r="T623" s="5" t="s">
        <v>41</v>
      </c>
      <c r="U623" s="45" t="s">
        <v>737</v>
      </c>
    </row>
    <row r="624" spans="1:21" s="1" customFormat="1" ht="39.6" x14ac:dyDescent="0.3">
      <c r="A624" s="5" t="s">
        <v>742</v>
      </c>
      <c r="B624" s="5" t="s">
        <v>1405</v>
      </c>
      <c r="C624" s="11" t="s">
        <v>1406</v>
      </c>
      <c r="D624" s="5" t="s">
        <v>739</v>
      </c>
      <c r="E624" s="8">
        <v>6</v>
      </c>
      <c r="F624" s="5" t="s">
        <v>1407</v>
      </c>
      <c r="G624" s="5" t="s">
        <v>23</v>
      </c>
      <c r="H624" s="5" t="s">
        <v>408</v>
      </c>
      <c r="I624" s="5" t="s">
        <v>25</v>
      </c>
      <c r="J624" s="5" t="s">
        <v>740</v>
      </c>
      <c r="K624" s="91">
        <v>45867</v>
      </c>
      <c r="L624" s="91">
        <v>46106</v>
      </c>
      <c r="M624" s="34" t="s">
        <v>37</v>
      </c>
      <c r="N624" s="34">
        <v>17067</v>
      </c>
      <c r="O624" s="55">
        <f t="shared" si="14"/>
        <v>102402</v>
      </c>
      <c r="P624" s="34"/>
      <c r="Q624" s="43" t="s">
        <v>1408</v>
      </c>
      <c r="R624" s="5">
        <v>7666192071</v>
      </c>
      <c r="S624" s="5" t="s">
        <v>1409</v>
      </c>
      <c r="T624" s="34" t="s">
        <v>941</v>
      </c>
      <c r="U624" s="43" t="s">
        <v>738</v>
      </c>
    </row>
    <row r="625" spans="1:21" s="1" customFormat="1" ht="26.4" x14ac:dyDescent="0.3">
      <c r="A625" s="5" t="s">
        <v>741</v>
      </c>
      <c r="B625" s="5" t="s">
        <v>1261</v>
      </c>
      <c r="C625" s="5" t="s">
        <v>483</v>
      </c>
      <c r="D625" s="5" t="s">
        <v>739</v>
      </c>
      <c r="E625" s="8">
        <v>8</v>
      </c>
      <c r="F625" s="5" t="s">
        <v>1257</v>
      </c>
      <c r="G625" s="5" t="s">
        <v>23</v>
      </c>
      <c r="H625" s="11" t="s">
        <v>311</v>
      </c>
      <c r="I625" s="5" t="s">
        <v>25</v>
      </c>
      <c r="J625" s="5" t="s">
        <v>740</v>
      </c>
      <c r="K625" s="52">
        <v>45121</v>
      </c>
      <c r="L625" s="52">
        <v>46085</v>
      </c>
      <c r="M625" s="5" t="s">
        <v>1258</v>
      </c>
      <c r="N625" s="5">
        <v>1169.7</v>
      </c>
      <c r="O625" s="55">
        <f t="shared" si="14"/>
        <v>9357.6</v>
      </c>
      <c r="P625" s="34"/>
      <c r="Q625" s="43" t="s">
        <v>1259</v>
      </c>
      <c r="R625" s="5">
        <v>9820023829</v>
      </c>
      <c r="S625" s="5" t="s">
        <v>1260</v>
      </c>
      <c r="T625" s="5" t="s">
        <v>41</v>
      </c>
      <c r="U625" s="43" t="s">
        <v>741</v>
      </c>
    </row>
    <row r="626" spans="1:21" s="1" customFormat="1" ht="14.4" x14ac:dyDescent="0.3">
      <c r="A626" s="11" t="s">
        <v>518</v>
      </c>
      <c r="B626" s="5" t="s">
        <v>432</v>
      </c>
      <c r="C626" s="11" t="s">
        <v>37</v>
      </c>
      <c r="D626" s="5" t="s">
        <v>739</v>
      </c>
      <c r="E626" s="5">
        <v>1</v>
      </c>
      <c r="F626" s="5" t="s">
        <v>1257</v>
      </c>
      <c r="G626" s="5" t="s">
        <v>23</v>
      </c>
      <c r="H626" s="5" t="s">
        <v>311</v>
      </c>
      <c r="I626" s="5" t="s">
        <v>25</v>
      </c>
      <c r="J626" s="5" t="s">
        <v>26</v>
      </c>
      <c r="K626" s="50">
        <v>45121</v>
      </c>
      <c r="L626" s="50">
        <v>46085</v>
      </c>
      <c r="M626" s="11" t="s">
        <v>1258</v>
      </c>
      <c r="N626" s="11">
        <v>4001</v>
      </c>
      <c r="O626" s="55">
        <f t="shared" si="14"/>
        <v>4001</v>
      </c>
      <c r="P626" s="11" t="s">
        <v>73</v>
      </c>
      <c r="Q626" s="43" t="s">
        <v>1259</v>
      </c>
      <c r="R626" s="5">
        <v>9820023829</v>
      </c>
      <c r="S626" s="5" t="s">
        <v>1260</v>
      </c>
      <c r="T626" s="11" t="s">
        <v>41</v>
      </c>
      <c r="U626" s="43" t="s">
        <v>431</v>
      </c>
    </row>
    <row r="627" spans="1:21" s="1" customFormat="1" ht="39.6" x14ac:dyDescent="0.3">
      <c r="A627" s="5" t="s">
        <v>1410</v>
      </c>
      <c r="B627" s="5" t="s">
        <v>1411</v>
      </c>
      <c r="C627" s="11" t="s">
        <v>37</v>
      </c>
      <c r="D627" s="5" t="s">
        <v>739</v>
      </c>
      <c r="E627" s="8">
        <v>10</v>
      </c>
      <c r="F627" s="5" t="s">
        <v>1407</v>
      </c>
      <c r="G627" s="5" t="s">
        <v>23</v>
      </c>
      <c r="H627" s="5" t="s">
        <v>408</v>
      </c>
      <c r="I627" s="5" t="s">
        <v>25</v>
      </c>
      <c r="J627" s="5" t="s">
        <v>26</v>
      </c>
      <c r="K627" s="91">
        <v>45867</v>
      </c>
      <c r="L627" s="91">
        <v>46106</v>
      </c>
      <c r="M627" s="34" t="s">
        <v>37</v>
      </c>
      <c r="N627" s="34">
        <v>65497</v>
      </c>
      <c r="O627" s="55">
        <f t="shared" si="14"/>
        <v>654970</v>
      </c>
      <c r="P627" s="34"/>
      <c r="Q627" s="43" t="s">
        <v>1408</v>
      </c>
      <c r="R627" s="5">
        <v>7666192071</v>
      </c>
      <c r="S627" s="5" t="s">
        <v>1409</v>
      </c>
      <c r="T627" s="34" t="s">
        <v>941</v>
      </c>
      <c r="U627" s="5" t="s">
        <v>37</v>
      </c>
    </row>
    <row r="628" spans="1:21" s="1" customFormat="1" ht="39.6" x14ac:dyDescent="0.3">
      <c r="A628" s="25" t="s">
        <v>974</v>
      </c>
      <c r="B628" s="25" t="s">
        <v>1107</v>
      </c>
      <c r="C628" s="11" t="s">
        <v>37</v>
      </c>
      <c r="D628" s="5" t="s">
        <v>22</v>
      </c>
      <c r="E628" s="25">
        <v>2</v>
      </c>
      <c r="F628" s="5" t="s">
        <v>1333</v>
      </c>
      <c r="G628" s="5" t="s">
        <v>23</v>
      </c>
      <c r="H628" s="11" t="s">
        <v>24</v>
      </c>
      <c r="I628" s="25" t="s">
        <v>25</v>
      </c>
      <c r="J628" s="25" t="s">
        <v>26</v>
      </c>
      <c r="K628" s="57">
        <v>45782</v>
      </c>
      <c r="L628" s="57">
        <v>46071</v>
      </c>
      <c r="M628" s="11" t="s">
        <v>1108</v>
      </c>
      <c r="N628" s="25">
        <v>259500</v>
      </c>
      <c r="O628" s="55">
        <f t="shared" si="14"/>
        <v>519000</v>
      </c>
      <c r="P628" s="25" t="s">
        <v>50</v>
      </c>
      <c r="Q628" s="43" t="s">
        <v>1193</v>
      </c>
      <c r="R628" s="5" t="s">
        <v>1194</v>
      </c>
      <c r="S628" s="5" t="s">
        <v>1195</v>
      </c>
      <c r="T628" s="25" t="s">
        <v>942</v>
      </c>
      <c r="U628" s="45" t="s">
        <v>743</v>
      </c>
    </row>
    <row r="629" spans="1:21" s="1" customFormat="1" ht="26.4" x14ac:dyDescent="0.3">
      <c r="A629" s="34" t="s">
        <v>347</v>
      </c>
      <c r="B629" s="34" t="s">
        <v>976</v>
      </c>
      <c r="C629" s="11" t="s">
        <v>242</v>
      </c>
      <c r="D629" s="5" t="s">
        <v>22</v>
      </c>
      <c r="E629" s="34">
        <v>1</v>
      </c>
      <c r="F629" s="5" t="s">
        <v>83</v>
      </c>
      <c r="G629" s="5" t="s">
        <v>23</v>
      </c>
      <c r="H629" s="11" t="s">
        <v>24</v>
      </c>
      <c r="I629" s="34" t="s">
        <v>25</v>
      </c>
      <c r="J629" s="34" t="s">
        <v>26</v>
      </c>
      <c r="K629" s="91">
        <v>45016</v>
      </c>
      <c r="L629" s="91">
        <v>46069</v>
      </c>
      <c r="M629" s="34" t="s">
        <v>977</v>
      </c>
      <c r="N629" s="34">
        <v>91198289</v>
      </c>
      <c r="O629" s="55">
        <f t="shared" si="14"/>
        <v>91198289</v>
      </c>
      <c r="P629" s="25" t="s">
        <v>50</v>
      </c>
      <c r="Q629" s="43" t="s">
        <v>978</v>
      </c>
      <c r="R629" s="5">
        <v>7719007222</v>
      </c>
      <c r="S629" s="5" t="s">
        <v>979</v>
      </c>
      <c r="T629" s="34" t="s">
        <v>32</v>
      </c>
      <c r="U629" s="92" t="s">
        <v>347</v>
      </c>
    </row>
    <row r="630" spans="1:21" s="1" customFormat="1" ht="39.6" x14ac:dyDescent="0.3">
      <c r="A630" s="34" t="s">
        <v>412</v>
      </c>
      <c r="B630" s="11" t="s">
        <v>1388</v>
      </c>
      <c r="C630" s="34" t="s">
        <v>470</v>
      </c>
      <c r="D630" s="5" t="s">
        <v>462</v>
      </c>
      <c r="E630" s="98">
        <v>1</v>
      </c>
      <c r="F630" s="5" t="s">
        <v>1383</v>
      </c>
      <c r="G630" s="5" t="s">
        <v>23</v>
      </c>
      <c r="H630" s="5" t="s">
        <v>580</v>
      </c>
      <c r="I630" s="5" t="s">
        <v>25</v>
      </c>
      <c r="J630" s="5" t="s">
        <v>26</v>
      </c>
      <c r="K630" s="50">
        <v>43547</v>
      </c>
      <c r="L630" s="50">
        <v>46104</v>
      </c>
      <c r="M630" s="11" t="s">
        <v>1387</v>
      </c>
      <c r="N630" s="11">
        <v>45657.02</v>
      </c>
      <c r="O630" s="55">
        <f t="shared" si="14"/>
        <v>45657.02</v>
      </c>
      <c r="P630" s="11"/>
      <c r="Q630" s="43" t="s">
        <v>1259</v>
      </c>
      <c r="R630" s="5">
        <v>9820023829</v>
      </c>
      <c r="S630" s="5" t="s">
        <v>1260</v>
      </c>
      <c r="T630" s="11" t="s">
        <v>58</v>
      </c>
      <c r="U630" s="24" t="s">
        <v>744</v>
      </c>
    </row>
    <row r="631" spans="1:21" s="1" customFormat="1" ht="14.4" x14ac:dyDescent="0.3">
      <c r="A631" s="5" t="s">
        <v>745</v>
      </c>
      <c r="B631" s="34" t="s">
        <v>746</v>
      </c>
      <c r="C631" s="34" t="s">
        <v>37</v>
      </c>
      <c r="D631" s="5" t="s">
        <v>462</v>
      </c>
      <c r="E631" s="34">
        <v>1</v>
      </c>
      <c r="F631" s="25" t="s">
        <v>440</v>
      </c>
      <c r="G631" s="5" t="s">
        <v>23</v>
      </c>
      <c r="H631" s="5" t="s">
        <v>408</v>
      </c>
      <c r="I631" s="5" t="s">
        <v>25</v>
      </c>
      <c r="J631" s="5" t="s">
        <v>26</v>
      </c>
      <c r="K631" s="59">
        <v>43614</v>
      </c>
      <c r="L631" s="91">
        <v>46045</v>
      </c>
      <c r="M631" s="5" t="s">
        <v>441</v>
      </c>
      <c r="N631" s="55">
        <v>10311</v>
      </c>
      <c r="O631" s="55">
        <f t="shared" si="14"/>
        <v>10311</v>
      </c>
      <c r="P631" s="34" t="s">
        <v>73</v>
      </c>
      <c r="Q631" s="34" t="s">
        <v>37</v>
      </c>
      <c r="R631" s="34" t="s">
        <v>37</v>
      </c>
      <c r="S631" s="34" t="s">
        <v>37</v>
      </c>
      <c r="T631" s="34" t="s">
        <v>58</v>
      </c>
      <c r="U631" s="47" t="s">
        <v>746</v>
      </c>
    </row>
    <row r="632" spans="1:21" s="1" customFormat="1" ht="26.4" x14ac:dyDescent="0.3">
      <c r="A632" s="34" t="s">
        <v>744</v>
      </c>
      <c r="B632" s="34" t="s">
        <v>747</v>
      </c>
      <c r="C632" s="34" t="s">
        <v>37</v>
      </c>
      <c r="D632" s="5" t="s">
        <v>1311</v>
      </c>
      <c r="E632" s="98">
        <v>1</v>
      </c>
      <c r="F632" s="5" t="s">
        <v>407</v>
      </c>
      <c r="G632" s="5" t="s">
        <v>23</v>
      </c>
      <c r="H632" s="34" t="s">
        <v>408</v>
      </c>
      <c r="I632" s="5" t="s">
        <v>25</v>
      </c>
      <c r="J632" s="5" t="s">
        <v>26</v>
      </c>
      <c r="K632" s="59">
        <v>43544</v>
      </c>
      <c r="L632" s="91">
        <v>46045</v>
      </c>
      <c r="M632" s="5" t="s">
        <v>418</v>
      </c>
      <c r="N632" s="55">
        <v>9405</v>
      </c>
      <c r="O632" s="55">
        <f t="shared" si="14"/>
        <v>9405</v>
      </c>
      <c r="P632" s="34"/>
      <c r="Q632" s="43" t="s">
        <v>409</v>
      </c>
      <c r="R632" s="5">
        <v>9930806006</v>
      </c>
      <c r="S632" s="5" t="s">
        <v>410</v>
      </c>
      <c r="T632" s="34" t="s">
        <v>1144</v>
      </c>
      <c r="U632" s="24" t="s">
        <v>37</v>
      </c>
    </row>
    <row r="633" spans="1:21" s="1" customFormat="1" ht="26.4" x14ac:dyDescent="0.3">
      <c r="A633" s="34" t="s">
        <v>744</v>
      </c>
      <c r="B633" s="34" t="s">
        <v>747</v>
      </c>
      <c r="C633" s="34" t="s">
        <v>37</v>
      </c>
      <c r="D633" s="5" t="s">
        <v>1323</v>
      </c>
      <c r="E633" s="98">
        <v>1</v>
      </c>
      <c r="F633" s="5" t="s">
        <v>407</v>
      </c>
      <c r="G633" s="5" t="s">
        <v>23</v>
      </c>
      <c r="H633" s="34" t="s">
        <v>408</v>
      </c>
      <c r="I633" s="5" t="s">
        <v>25</v>
      </c>
      <c r="J633" s="5" t="s">
        <v>26</v>
      </c>
      <c r="K633" s="59">
        <v>43544</v>
      </c>
      <c r="L633" s="91">
        <v>46045</v>
      </c>
      <c r="M633" s="5" t="s">
        <v>418</v>
      </c>
      <c r="N633" s="55">
        <v>9405</v>
      </c>
      <c r="O633" s="55">
        <f t="shared" si="14"/>
        <v>9405</v>
      </c>
      <c r="P633" s="34"/>
      <c r="Q633" s="43" t="s">
        <v>409</v>
      </c>
      <c r="R633" s="5">
        <v>9930806006</v>
      </c>
      <c r="S633" s="5" t="s">
        <v>410</v>
      </c>
      <c r="T633" s="34" t="s">
        <v>1144</v>
      </c>
      <c r="U633" s="24" t="s">
        <v>37</v>
      </c>
    </row>
    <row r="634" spans="1:21" s="1" customFormat="1" ht="26.4" x14ac:dyDescent="0.3">
      <c r="A634" s="34" t="s">
        <v>744</v>
      </c>
      <c r="B634" s="34" t="s">
        <v>747</v>
      </c>
      <c r="C634" s="34" t="s">
        <v>37</v>
      </c>
      <c r="D634" s="5" t="s">
        <v>1312</v>
      </c>
      <c r="E634" s="98">
        <v>1</v>
      </c>
      <c r="F634" s="5" t="s">
        <v>407</v>
      </c>
      <c r="G634" s="5" t="s">
        <v>23</v>
      </c>
      <c r="H634" s="34" t="s">
        <v>408</v>
      </c>
      <c r="I634" s="5" t="s">
        <v>25</v>
      </c>
      <c r="J634" s="5" t="s">
        <v>26</v>
      </c>
      <c r="K634" s="59">
        <v>43544</v>
      </c>
      <c r="L634" s="91">
        <v>46045</v>
      </c>
      <c r="M634" s="5" t="s">
        <v>418</v>
      </c>
      <c r="N634" s="55">
        <v>9405</v>
      </c>
      <c r="O634" s="55">
        <f t="shared" si="14"/>
        <v>9405</v>
      </c>
      <c r="P634" s="34"/>
      <c r="Q634" s="43" t="s">
        <v>409</v>
      </c>
      <c r="R634" s="5">
        <v>9930806006</v>
      </c>
      <c r="S634" s="5" t="s">
        <v>410</v>
      </c>
      <c r="T634" s="34" t="s">
        <v>1144</v>
      </c>
      <c r="U634" s="24" t="s">
        <v>37</v>
      </c>
    </row>
    <row r="635" spans="1:21" s="1" customFormat="1" ht="14.4" x14ac:dyDescent="0.3">
      <c r="A635" s="5" t="s">
        <v>745</v>
      </c>
      <c r="B635" s="25" t="s">
        <v>748</v>
      </c>
      <c r="C635" s="25" t="s">
        <v>749</v>
      </c>
      <c r="D635" s="5" t="s">
        <v>455</v>
      </c>
      <c r="E635" s="25">
        <v>1</v>
      </c>
      <c r="F635" s="25" t="s">
        <v>440</v>
      </c>
      <c r="G635" s="25" t="s">
        <v>23</v>
      </c>
      <c r="H635" s="5" t="s">
        <v>580</v>
      </c>
      <c r="I635" s="25" t="s">
        <v>25</v>
      </c>
      <c r="J635" s="25" t="s">
        <v>26</v>
      </c>
      <c r="K635" s="59">
        <v>43614</v>
      </c>
      <c r="L635" s="91">
        <v>46045</v>
      </c>
      <c r="M635" s="5" t="s">
        <v>441</v>
      </c>
      <c r="N635" s="55">
        <v>10311</v>
      </c>
      <c r="O635" s="55">
        <f t="shared" si="14"/>
        <v>10311</v>
      </c>
      <c r="P635" s="34" t="s">
        <v>73</v>
      </c>
      <c r="Q635" s="34" t="s">
        <v>37</v>
      </c>
      <c r="R635" s="34" t="s">
        <v>37</v>
      </c>
      <c r="S635" s="34" t="s">
        <v>37</v>
      </c>
      <c r="T635" s="34" t="s">
        <v>58</v>
      </c>
      <c r="U635" s="24"/>
    </row>
    <row r="636" spans="1:21" s="1" customFormat="1" ht="14.4" x14ac:dyDescent="0.3">
      <c r="A636" s="5" t="s">
        <v>750</v>
      </c>
      <c r="B636" s="34" t="s">
        <v>751</v>
      </c>
      <c r="C636" s="34" t="s">
        <v>37</v>
      </c>
      <c r="D636" s="5" t="s">
        <v>417</v>
      </c>
      <c r="E636" s="34">
        <v>1</v>
      </c>
      <c r="F636" s="5" t="s">
        <v>440</v>
      </c>
      <c r="G636" s="5" t="s">
        <v>23</v>
      </c>
      <c r="H636" s="5" t="s">
        <v>408</v>
      </c>
      <c r="I636" s="34" t="s">
        <v>25</v>
      </c>
      <c r="J636" s="34" t="s">
        <v>26</v>
      </c>
      <c r="K636" s="59">
        <v>43614</v>
      </c>
      <c r="L636" s="91">
        <v>46045</v>
      </c>
      <c r="M636" s="5" t="s">
        <v>441</v>
      </c>
      <c r="N636" s="32">
        <v>15697</v>
      </c>
      <c r="O636" s="55">
        <f t="shared" si="14"/>
        <v>15697</v>
      </c>
      <c r="P636" s="34" t="s">
        <v>73</v>
      </c>
      <c r="Q636" s="34" t="s">
        <v>37</v>
      </c>
      <c r="R636" s="34" t="s">
        <v>37</v>
      </c>
      <c r="S636" s="34" t="s">
        <v>37</v>
      </c>
      <c r="T636" s="34" t="s">
        <v>58</v>
      </c>
      <c r="U636" s="24"/>
    </row>
    <row r="637" spans="1:21" s="1" customFormat="1" ht="14.4" x14ac:dyDescent="0.3">
      <c r="A637" s="34" t="s">
        <v>752</v>
      </c>
      <c r="B637" s="34" t="s">
        <v>753</v>
      </c>
      <c r="C637" s="34" t="s">
        <v>37</v>
      </c>
      <c r="D637" s="5" t="s">
        <v>450</v>
      </c>
      <c r="E637" s="98">
        <v>2</v>
      </c>
      <c r="F637" s="34" t="s">
        <v>37</v>
      </c>
      <c r="G637" s="5" t="s">
        <v>23</v>
      </c>
      <c r="H637" s="5" t="s">
        <v>408</v>
      </c>
      <c r="I637" s="34" t="s">
        <v>25</v>
      </c>
      <c r="J637" s="34" t="s">
        <v>26</v>
      </c>
      <c r="K637" s="34" t="s">
        <v>37</v>
      </c>
      <c r="L637" s="91">
        <v>46106</v>
      </c>
      <c r="M637" s="34" t="s">
        <v>37</v>
      </c>
      <c r="N637" s="34">
        <v>0</v>
      </c>
      <c r="O637" s="55">
        <f t="shared" si="14"/>
        <v>0</v>
      </c>
      <c r="P637" s="34"/>
      <c r="Q637" s="34" t="s">
        <v>37</v>
      </c>
      <c r="R637" s="34" t="s">
        <v>37</v>
      </c>
      <c r="S637" s="34" t="s">
        <v>37</v>
      </c>
      <c r="T637" s="34" t="s">
        <v>37</v>
      </c>
      <c r="U637" s="34" t="s">
        <v>37</v>
      </c>
    </row>
    <row r="638" spans="1:21" s="60" customFormat="1" ht="14.4" x14ac:dyDescent="0.3">
      <c r="A638" s="5" t="s">
        <v>750</v>
      </c>
      <c r="B638" s="34" t="s">
        <v>754</v>
      </c>
      <c r="C638" s="34" t="s">
        <v>37</v>
      </c>
      <c r="D638" s="5" t="s">
        <v>471</v>
      </c>
      <c r="E638" s="34">
        <v>1</v>
      </c>
      <c r="F638" s="5" t="s">
        <v>440</v>
      </c>
      <c r="G638" s="5" t="s">
        <v>23</v>
      </c>
      <c r="H638" s="5" t="s">
        <v>408</v>
      </c>
      <c r="I638" s="34" t="s">
        <v>25</v>
      </c>
      <c r="J638" s="34" t="s">
        <v>26</v>
      </c>
      <c r="K638" s="59">
        <v>43614</v>
      </c>
      <c r="L638" s="91">
        <v>46045</v>
      </c>
      <c r="M638" s="5" t="s">
        <v>441</v>
      </c>
      <c r="N638" s="32">
        <v>15697</v>
      </c>
      <c r="O638" s="55">
        <f t="shared" si="14"/>
        <v>15697</v>
      </c>
      <c r="P638" s="34" t="s">
        <v>73</v>
      </c>
      <c r="Q638" s="34" t="s">
        <v>37</v>
      </c>
      <c r="R638" s="34" t="s">
        <v>37</v>
      </c>
      <c r="S638" s="34" t="s">
        <v>37</v>
      </c>
      <c r="T638" s="34" t="s">
        <v>58</v>
      </c>
      <c r="U638" s="24"/>
    </row>
    <row r="639" spans="1:21" customFormat="1" ht="26.4" x14ac:dyDescent="0.3">
      <c r="A639" s="5" t="s">
        <v>1204</v>
      </c>
      <c r="B639" s="5" t="s">
        <v>517</v>
      </c>
      <c r="C639" s="5" t="s">
        <v>512</v>
      </c>
      <c r="D639" s="11" t="s">
        <v>542</v>
      </c>
      <c r="E639" s="11">
        <v>1</v>
      </c>
      <c r="F639" s="5" t="s">
        <v>513</v>
      </c>
      <c r="G639" s="11" t="s">
        <v>23</v>
      </c>
      <c r="H639" s="11" t="s">
        <v>408</v>
      </c>
      <c r="I639" s="11" t="s">
        <v>25</v>
      </c>
      <c r="J639" s="11" t="s">
        <v>26</v>
      </c>
      <c r="K639" s="52">
        <v>44968</v>
      </c>
      <c r="L639" s="50">
        <v>46032</v>
      </c>
      <c r="M639" s="5" t="s">
        <v>514</v>
      </c>
      <c r="N639" s="11">
        <v>7611</v>
      </c>
      <c r="O639" s="55">
        <f t="shared" si="14"/>
        <v>7611</v>
      </c>
      <c r="P639" s="11" t="s">
        <v>73</v>
      </c>
      <c r="Q639" s="34" t="s">
        <v>37</v>
      </c>
      <c r="R639" s="34" t="s">
        <v>37</v>
      </c>
      <c r="S639" s="5" t="s">
        <v>515</v>
      </c>
      <c r="T639" s="11" t="s">
        <v>41</v>
      </c>
      <c r="U639" s="25" t="s">
        <v>755</v>
      </c>
    </row>
    <row r="640" spans="1:21" s="62" customFormat="1" ht="26.4" x14ac:dyDescent="0.3">
      <c r="A640" s="5" t="s">
        <v>500</v>
      </c>
      <c r="B640" s="5" t="s">
        <v>756</v>
      </c>
      <c r="C640" s="25" t="s">
        <v>502</v>
      </c>
      <c r="D640" s="25" t="s">
        <v>590</v>
      </c>
      <c r="E640" s="25">
        <v>1</v>
      </c>
      <c r="F640" s="5" t="s">
        <v>757</v>
      </c>
      <c r="G640" s="5" t="s">
        <v>23</v>
      </c>
      <c r="H640" s="5" t="s">
        <v>580</v>
      </c>
      <c r="I640" s="5" t="s">
        <v>25</v>
      </c>
      <c r="J640" s="5" t="s">
        <v>26</v>
      </c>
      <c r="K640" s="52">
        <v>45862</v>
      </c>
      <c r="L640" s="91">
        <v>46032</v>
      </c>
      <c r="M640" s="5" t="s">
        <v>758</v>
      </c>
      <c r="N640" s="34">
        <v>9950</v>
      </c>
      <c r="O640" s="55">
        <f t="shared" si="14"/>
        <v>9950</v>
      </c>
      <c r="P640" s="5" t="s">
        <v>73</v>
      </c>
      <c r="Q640" s="45" t="s">
        <v>759</v>
      </c>
      <c r="R640" s="5" t="s">
        <v>760</v>
      </c>
      <c r="S640" s="5" t="s">
        <v>761</v>
      </c>
      <c r="T640" s="11" t="s">
        <v>941</v>
      </c>
      <c r="U640" s="24"/>
    </row>
    <row r="641" spans="1:21" s="1" customFormat="1" ht="26.4" x14ac:dyDescent="0.3">
      <c r="A641" s="5" t="s">
        <v>1060</v>
      </c>
      <c r="B641" s="5" t="s">
        <v>496</v>
      </c>
      <c r="C641" s="25" t="s">
        <v>529</v>
      </c>
      <c r="D641" s="5" t="s">
        <v>22</v>
      </c>
      <c r="E641" s="25">
        <v>1</v>
      </c>
      <c r="F641" s="5" t="s">
        <v>425</v>
      </c>
      <c r="G641" s="25" t="s">
        <v>23</v>
      </c>
      <c r="H641" s="5" t="s">
        <v>426</v>
      </c>
      <c r="I641" s="25" t="s">
        <v>25</v>
      </c>
      <c r="J641" s="25" t="s">
        <v>26</v>
      </c>
      <c r="K641" s="52">
        <v>45495</v>
      </c>
      <c r="L641" s="50">
        <v>46041</v>
      </c>
      <c r="M641" s="5" t="s">
        <v>498</v>
      </c>
      <c r="N641" s="11">
        <v>52100</v>
      </c>
      <c r="O641" s="55">
        <f t="shared" si="14"/>
        <v>52100</v>
      </c>
      <c r="P641" s="11" t="s">
        <v>73</v>
      </c>
      <c r="Q641" s="43" t="s">
        <v>428</v>
      </c>
      <c r="R641" s="5" t="s">
        <v>429</v>
      </c>
      <c r="S641" s="5" t="s">
        <v>430</v>
      </c>
      <c r="T641" s="5" t="s">
        <v>942</v>
      </c>
      <c r="U641" s="25" t="s">
        <v>762</v>
      </c>
    </row>
    <row r="642" spans="1:21" s="1" customFormat="1" ht="26.4" x14ac:dyDescent="0.3">
      <c r="A642" s="25" t="s">
        <v>763</v>
      </c>
      <c r="B642" s="25" t="s">
        <v>659</v>
      </c>
      <c r="C642" s="11" t="s">
        <v>37</v>
      </c>
      <c r="D642" s="11" t="s">
        <v>349</v>
      </c>
      <c r="E642" s="12">
        <v>1</v>
      </c>
      <c r="F642" s="11" t="s">
        <v>37</v>
      </c>
      <c r="G642" s="11" t="s">
        <v>23</v>
      </c>
      <c r="H642" s="11" t="s">
        <v>24</v>
      </c>
      <c r="I642" s="11" t="s">
        <v>25</v>
      </c>
      <c r="J642" s="11" t="s">
        <v>26</v>
      </c>
      <c r="K642" s="52" t="s">
        <v>37</v>
      </c>
      <c r="L642" s="50">
        <v>46101</v>
      </c>
      <c r="M642" s="11" t="s">
        <v>37</v>
      </c>
      <c r="N642" s="11">
        <v>0</v>
      </c>
      <c r="O642" s="55">
        <f t="shared" si="14"/>
        <v>0</v>
      </c>
      <c r="P642" s="11"/>
      <c r="Q642" s="26" t="s">
        <v>37</v>
      </c>
      <c r="R642" s="26" t="s">
        <v>37</v>
      </c>
      <c r="S642" s="26" t="s">
        <v>37</v>
      </c>
      <c r="T642" s="26" t="s">
        <v>37</v>
      </c>
      <c r="U642" s="79" t="s">
        <v>764</v>
      </c>
    </row>
    <row r="643" spans="1:21" s="1" customFormat="1" ht="26.4" x14ac:dyDescent="0.3">
      <c r="A643" s="25" t="s">
        <v>765</v>
      </c>
      <c r="B643" s="25" t="s">
        <v>659</v>
      </c>
      <c r="C643" s="11" t="s">
        <v>37</v>
      </c>
      <c r="D643" s="11" t="s">
        <v>349</v>
      </c>
      <c r="E643" s="12">
        <v>1</v>
      </c>
      <c r="F643" s="11" t="s">
        <v>37</v>
      </c>
      <c r="G643" s="11" t="s">
        <v>23</v>
      </c>
      <c r="H643" s="11" t="s">
        <v>24</v>
      </c>
      <c r="I643" s="11" t="s">
        <v>25</v>
      </c>
      <c r="J643" s="11" t="s">
        <v>26</v>
      </c>
      <c r="K643" s="52" t="s">
        <v>37</v>
      </c>
      <c r="L643" s="50">
        <v>46101</v>
      </c>
      <c r="M643" s="11" t="s">
        <v>37</v>
      </c>
      <c r="N643" s="11">
        <v>0</v>
      </c>
      <c r="O643" s="55">
        <f t="shared" si="14"/>
        <v>0</v>
      </c>
      <c r="P643" s="11"/>
      <c r="Q643" s="26" t="s">
        <v>37</v>
      </c>
      <c r="R643" s="26" t="s">
        <v>37</v>
      </c>
      <c r="S643" s="26" t="s">
        <v>37</v>
      </c>
      <c r="T643" s="26" t="s">
        <v>37</v>
      </c>
      <c r="U643" s="79" t="s">
        <v>766</v>
      </c>
    </row>
    <row r="644" spans="1:21" s="1" customFormat="1" ht="26.4" x14ac:dyDescent="0.3">
      <c r="A644" s="25" t="s">
        <v>763</v>
      </c>
      <c r="B644" s="25" t="s">
        <v>767</v>
      </c>
      <c r="C644" s="24" t="s">
        <v>768</v>
      </c>
      <c r="D644" s="11" t="s">
        <v>349</v>
      </c>
      <c r="E644" s="12">
        <v>1</v>
      </c>
      <c r="F644" s="11" t="s">
        <v>37</v>
      </c>
      <c r="G644" s="11" t="s">
        <v>23</v>
      </c>
      <c r="H644" s="11" t="s">
        <v>24</v>
      </c>
      <c r="I644" s="11" t="s">
        <v>25</v>
      </c>
      <c r="J644" s="11" t="s">
        <v>26</v>
      </c>
      <c r="K644" s="52" t="s">
        <v>37</v>
      </c>
      <c r="L644" s="50">
        <v>46101</v>
      </c>
      <c r="M644" s="11" t="s">
        <v>37</v>
      </c>
      <c r="N644" s="11">
        <v>0</v>
      </c>
      <c r="O644" s="55">
        <f t="shared" si="14"/>
        <v>0</v>
      </c>
      <c r="P644" s="11"/>
      <c r="Q644" s="26" t="s">
        <v>37</v>
      </c>
      <c r="R644" s="26" t="s">
        <v>37</v>
      </c>
      <c r="S644" s="26" t="s">
        <v>37</v>
      </c>
      <c r="T644" s="26" t="s">
        <v>37</v>
      </c>
      <c r="U644" s="24" t="s">
        <v>37</v>
      </c>
    </row>
    <row r="645" spans="1:21" s="1" customFormat="1" ht="26.4" x14ac:dyDescent="0.3">
      <c r="A645" s="25" t="s">
        <v>765</v>
      </c>
      <c r="B645" s="25" t="s">
        <v>767</v>
      </c>
      <c r="C645" s="24" t="s">
        <v>768</v>
      </c>
      <c r="D645" s="11" t="s">
        <v>349</v>
      </c>
      <c r="E645" s="12">
        <v>1</v>
      </c>
      <c r="F645" s="11" t="s">
        <v>37</v>
      </c>
      <c r="G645" s="11" t="s">
        <v>23</v>
      </c>
      <c r="H645" s="11" t="s">
        <v>24</v>
      </c>
      <c r="I645" s="11" t="s">
        <v>25</v>
      </c>
      <c r="J645" s="11" t="s">
        <v>26</v>
      </c>
      <c r="K645" s="52" t="s">
        <v>37</v>
      </c>
      <c r="L645" s="50">
        <v>46101</v>
      </c>
      <c r="M645" s="11" t="s">
        <v>37</v>
      </c>
      <c r="N645" s="11">
        <v>0</v>
      </c>
      <c r="O645" s="55">
        <f t="shared" si="14"/>
        <v>0</v>
      </c>
      <c r="P645" s="11"/>
      <c r="Q645" s="26" t="s">
        <v>37</v>
      </c>
      <c r="R645" s="26" t="s">
        <v>37</v>
      </c>
      <c r="S645" s="26" t="s">
        <v>37</v>
      </c>
      <c r="T645" s="26" t="s">
        <v>37</v>
      </c>
      <c r="U645" s="24" t="s">
        <v>37</v>
      </c>
    </row>
    <row r="646" spans="1:21" s="1" customFormat="1" ht="26.4" x14ac:dyDescent="0.3">
      <c r="A646" s="25" t="s">
        <v>769</v>
      </c>
      <c r="B646" s="25" t="s">
        <v>770</v>
      </c>
      <c r="C646" s="24" t="s">
        <v>37</v>
      </c>
      <c r="D646" s="11" t="s">
        <v>349</v>
      </c>
      <c r="E646" s="12">
        <v>1</v>
      </c>
      <c r="F646" s="11" t="s">
        <v>37</v>
      </c>
      <c r="G646" s="11" t="s">
        <v>23</v>
      </c>
      <c r="H646" s="11" t="s">
        <v>24</v>
      </c>
      <c r="I646" s="11" t="s">
        <v>25</v>
      </c>
      <c r="J646" s="11" t="s">
        <v>26</v>
      </c>
      <c r="K646" s="52" t="s">
        <v>37</v>
      </c>
      <c r="L646" s="50">
        <v>46101</v>
      </c>
      <c r="M646" s="11" t="s">
        <v>37</v>
      </c>
      <c r="N646" s="11">
        <v>0</v>
      </c>
      <c r="O646" s="55">
        <f t="shared" si="14"/>
        <v>0</v>
      </c>
      <c r="P646" s="11"/>
      <c r="Q646" s="26" t="s">
        <v>37</v>
      </c>
      <c r="R646" s="26" t="s">
        <v>37</v>
      </c>
      <c r="S646" s="26" t="s">
        <v>37</v>
      </c>
      <c r="T646" s="26" t="s">
        <v>37</v>
      </c>
      <c r="U646" s="24" t="s">
        <v>37</v>
      </c>
    </row>
    <row r="647" spans="1:21" s="1" customFormat="1" ht="26.4" x14ac:dyDescent="0.3">
      <c r="A647" s="25" t="s">
        <v>771</v>
      </c>
      <c r="B647" s="25" t="s">
        <v>772</v>
      </c>
      <c r="C647" s="24" t="s">
        <v>768</v>
      </c>
      <c r="D647" s="11" t="s">
        <v>349</v>
      </c>
      <c r="E647" s="12">
        <v>1</v>
      </c>
      <c r="F647" s="11" t="s">
        <v>37</v>
      </c>
      <c r="G647" s="11" t="s">
        <v>23</v>
      </c>
      <c r="H647" s="11" t="s">
        <v>24</v>
      </c>
      <c r="I647" s="11" t="s">
        <v>25</v>
      </c>
      <c r="J647" s="11" t="s">
        <v>26</v>
      </c>
      <c r="K647" s="52" t="s">
        <v>37</v>
      </c>
      <c r="L647" s="50">
        <v>46101</v>
      </c>
      <c r="M647" s="11" t="s">
        <v>37</v>
      </c>
      <c r="N647" s="11">
        <v>0</v>
      </c>
      <c r="O647" s="55">
        <f t="shared" si="14"/>
        <v>0</v>
      </c>
      <c r="P647" s="11"/>
      <c r="Q647" s="26" t="s">
        <v>37</v>
      </c>
      <c r="R647" s="26" t="s">
        <v>37</v>
      </c>
      <c r="S647" s="26" t="s">
        <v>37</v>
      </c>
      <c r="T647" s="26" t="s">
        <v>37</v>
      </c>
      <c r="U647" s="79" t="s">
        <v>771</v>
      </c>
    </row>
    <row r="648" spans="1:21" s="1" customFormat="1" ht="26.4" x14ac:dyDescent="0.3">
      <c r="A648" s="25" t="s">
        <v>773</v>
      </c>
      <c r="B648" s="25" t="s">
        <v>772</v>
      </c>
      <c r="C648" s="24" t="s">
        <v>774</v>
      </c>
      <c r="D648" s="11" t="s">
        <v>349</v>
      </c>
      <c r="E648" s="12">
        <v>1</v>
      </c>
      <c r="F648" s="11" t="s">
        <v>37</v>
      </c>
      <c r="G648" s="11" t="s">
        <v>23</v>
      </c>
      <c r="H648" s="11" t="s">
        <v>24</v>
      </c>
      <c r="I648" s="11" t="s">
        <v>25</v>
      </c>
      <c r="J648" s="11" t="s">
        <v>26</v>
      </c>
      <c r="K648" s="52" t="s">
        <v>37</v>
      </c>
      <c r="L648" s="50">
        <v>46101</v>
      </c>
      <c r="M648" s="11" t="s">
        <v>37</v>
      </c>
      <c r="N648" s="11">
        <v>0</v>
      </c>
      <c r="O648" s="55">
        <f t="shared" si="14"/>
        <v>0</v>
      </c>
      <c r="P648" s="11"/>
      <c r="Q648" s="26" t="s">
        <v>37</v>
      </c>
      <c r="R648" s="26" t="s">
        <v>37</v>
      </c>
      <c r="S648" s="26" t="s">
        <v>37</v>
      </c>
      <c r="T648" s="26" t="s">
        <v>37</v>
      </c>
      <c r="U648" s="79" t="s">
        <v>773</v>
      </c>
    </row>
    <row r="649" spans="1:21" s="1" customFormat="1" ht="26.4" x14ac:dyDescent="0.3">
      <c r="A649" s="25" t="s">
        <v>775</v>
      </c>
      <c r="B649" s="25" t="s">
        <v>776</v>
      </c>
      <c r="C649" s="24" t="s">
        <v>37</v>
      </c>
      <c r="D649" s="11" t="s">
        <v>349</v>
      </c>
      <c r="E649" s="12">
        <v>1</v>
      </c>
      <c r="F649" s="11" t="s">
        <v>37</v>
      </c>
      <c r="G649" s="11" t="s">
        <v>23</v>
      </c>
      <c r="H649" s="11" t="s">
        <v>24</v>
      </c>
      <c r="I649" s="11" t="s">
        <v>25</v>
      </c>
      <c r="J649" s="11" t="s">
        <v>26</v>
      </c>
      <c r="K649" s="52" t="s">
        <v>37</v>
      </c>
      <c r="L649" s="50">
        <v>46101</v>
      </c>
      <c r="M649" s="11" t="s">
        <v>37</v>
      </c>
      <c r="N649" s="11">
        <v>0</v>
      </c>
      <c r="O649" s="55">
        <f t="shared" si="14"/>
        <v>0</v>
      </c>
      <c r="P649" s="24"/>
      <c r="Q649" s="26" t="s">
        <v>37</v>
      </c>
      <c r="R649" s="26" t="s">
        <v>37</v>
      </c>
      <c r="S649" s="26" t="s">
        <v>37</v>
      </c>
      <c r="T649" s="26" t="s">
        <v>37</v>
      </c>
      <c r="U649" s="79" t="s">
        <v>777</v>
      </c>
    </row>
    <row r="650" spans="1:21" s="1" customFormat="1" ht="26.4" x14ac:dyDescent="0.3">
      <c r="A650" s="25" t="s">
        <v>775</v>
      </c>
      <c r="B650" s="25" t="s">
        <v>778</v>
      </c>
      <c r="C650" s="24" t="s">
        <v>37</v>
      </c>
      <c r="D650" s="11" t="s">
        <v>349</v>
      </c>
      <c r="E650" s="12">
        <v>1</v>
      </c>
      <c r="F650" s="11" t="s">
        <v>37</v>
      </c>
      <c r="G650" s="11" t="s">
        <v>23</v>
      </c>
      <c r="H650" s="11" t="s">
        <v>24</v>
      </c>
      <c r="I650" s="11" t="s">
        <v>25</v>
      </c>
      <c r="J650" s="11" t="s">
        <v>26</v>
      </c>
      <c r="K650" s="52" t="s">
        <v>37</v>
      </c>
      <c r="L650" s="50">
        <v>46101</v>
      </c>
      <c r="M650" s="11" t="s">
        <v>37</v>
      </c>
      <c r="N650" s="11">
        <v>0</v>
      </c>
      <c r="O650" s="55">
        <f t="shared" si="14"/>
        <v>0</v>
      </c>
      <c r="P650" s="24"/>
      <c r="Q650" s="26" t="s">
        <v>37</v>
      </c>
      <c r="R650" s="26" t="s">
        <v>37</v>
      </c>
      <c r="S650" s="26" t="s">
        <v>37</v>
      </c>
      <c r="T650" s="26" t="s">
        <v>37</v>
      </c>
      <c r="U650" s="79" t="s">
        <v>779</v>
      </c>
    </row>
    <row r="651" spans="1:21" s="1" customFormat="1" ht="26.4" x14ac:dyDescent="0.3">
      <c r="A651" s="11" t="s">
        <v>370</v>
      </c>
      <c r="B651" s="25" t="s">
        <v>371</v>
      </c>
      <c r="C651" s="11" t="s">
        <v>372</v>
      </c>
      <c r="D651" s="5" t="s">
        <v>22</v>
      </c>
      <c r="E651" s="25">
        <v>1</v>
      </c>
      <c r="F651" s="11" t="s">
        <v>1105</v>
      </c>
      <c r="G651" s="25" t="s">
        <v>23</v>
      </c>
      <c r="H651" s="11" t="s">
        <v>24</v>
      </c>
      <c r="I651" s="25" t="s">
        <v>25</v>
      </c>
      <c r="J651" s="11" t="s">
        <v>26</v>
      </c>
      <c r="K651" s="50">
        <v>43495</v>
      </c>
      <c r="L651" s="50">
        <v>46071</v>
      </c>
      <c r="M651" s="5" t="s">
        <v>1125</v>
      </c>
      <c r="N651" s="25">
        <v>1141315</v>
      </c>
      <c r="O651" s="55">
        <f t="shared" si="14"/>
        <v>1141315</v>
      </c>
      <c r="P651" s="11" t="s">
        <v>73</v>
      </c>
      <c r="Q651" s="43" t="s">
        <v>393</v>
      </c>
      <c r="R651" s="5">
        <v>25447696</v>
      </c>
      <c r="S651" s="5" t="s">
        <v>394</v>
      </c>
      <c r="T651" s="25" t="s">
        <v>538</v>
      </c>
      <c r="U651" s="73" t="s">
        <v>373</v>
      </c>
    </row>
    <row r="652" spans="1:21" s="1" customFormat="1" ht="26.4" x14ac:dyDescent="0.3">
      <c r="A652" s="11" t="s">
        <v>1253</v>
      </c>
      <c r="B652" s="25" t="s">
        <v>780</v>
      </c>
      <c r="C652" s="25" t="s">
        <v>781</v>
      </c>
      <c r="D652" s="5" t="s">
        <v>22</v>
      </c>
      <c r="E652" s="25">
        <v>1</v>
      </c>
      <c r="F652" s="11" t="s">
        <v>999</v>
      </c>
      <c r="G652" s="11" t="s">
        <v>23</v>
      </c>
      <c r="H652" s="11" t="s">
        <v>24</v>
      </c>
      <c r="I652" s="25" t="s">
        <v>25</v>
      </c>
      <c r="J652" s="11" t="s">
        <v>26</v>
      </c>
      <c r="K652" s="50">
        <v>45446</v>
      </c>
      <c r="L652" s="50">
        <v>46085</v>
      </c>
      <c r="M652" s="11" t="s">
        <v>1000</v>
      </c>
      <c r="N652" s="11">
        <v>23119</v>
      </c>
      <c r="O652" s="55">
        <f t="shared" si="14"/>
        <v>23119</v>
      </c>
      <c r="P652" s="25" t="s">
        <v>73</v>
      </c>
      <c r="Q652" s="43" t="s">
        <v>1013</v>
      </c>
      <c r="R652" s="5">
        <v>225316608</v>
      </c>
      <c r="S652" s="5" t="s">
        <v>1014</v>
      </c>
      <c r="T652" s="11" t="s">
        <v>41</v>
      </c>
      <c r="U652" s="43" t="s">
        <v>1256</v>
      </c>
    </row>
    <row r="653" spans="1:21" s="1" customFormat="1" ht="26.4" x14ac:dyDescent="0.3">
      <c r="A653" s="25" t="s">
        <v>412</v>
      </c>
      <c r="B653" s="25" t="s">
        <v>1338</v>
      </c>
      <c r="C653" s="11" t="s">
        <v>413</v>
      </c>
      <c r="D653" s="5" t="s">
        <v>22</v>
      </c>
      <c r="E653" s="25">
        <v>1</v>
      </c>
      <c r="F653" s="25" t="s">
        <v>1105</v>
      </c>
      <c r="G653" s="11" t="s">
        <v>23</v>
      </c>
      <c r="H653" s="5" t="s">
        <v>580</v>
      </c>
      <c r="I653" s="25" t="s">
        <v>25</v>
      </c>
      <c r="J653" s="11" t="s">
        <v>26</v>
      </c>
      <c r="K653" s="57">
        <v>43910</v>
      </c>
      <c r="L653" s="57">
        <v>46086</v>
      </c>
      <c r="M653" s="5" t="s">
        <v>1133</v>
      </c>
      <c r="N653" s="25">
        <v>85808</v>
      </c>
      <c r="O653" s="55">
        <f t="shared" ref="O653:O683" si="15">N653*E653</f>
        <v>85808</v>
      </c>
      <c r="P653" s="25" t="s">
        <v>73</v>
      </c>
      <c r="Q653" s="43" t="s">
        <v>393</v>
      </c>
      <c r="R653" s="5">
        <v>25447696</v>
      </c>
      <c r="S653" s="5" t="s">
        <v>394</v>
      </c>
      <c r="T653" s="25" t="s">
        <v>538</v>
      </c>
      <c r="U653" s="43" t="s">
        <v>782</v>
      </c>
    </row>
    <row r="654" spans="1:21" s="1" customFormat="1" ht="26.4" x14ac:dyDescent="0.3">
      <c r="A654" s="25" t="s">
        <v>412</v>
      </c>
      <c r="B654" s="25" t="s">
        <v>1338</v>
      </c>
      <c r="C654" s="11" t="s">
        <v>413</v>
      </c>
      <c r="D654" s="5" t="s">
        <v>22</v>
      </c>
      <c r="E654" s="25">
        <v>1</v>
      </c>
      <c r="F654" s="25" t="s">
        <v>1105</v>
      </c>
      <c r="G654" s="11" t="s">
        <v>23</v>
      </c>
      <c r="H654" s="5" t="s">
        <v>580</v>
      </c>
      <c r="I654" s="25" t="s">
        <v>25</v>
      </c>
      <c r="J654" s="11" t="s">
        <v>26</v>
      </c>
      <c r="K654" s="57">
        <v>43910</v>
      </c>
      <c r="L654" s="57">
        <v>46086</v>
      </c>
      <c r="M654" s="5" t="s">
        <v>1133</v>
      </c>
      <c r="N654" s="25">
        <v>85808</v>
      </c>
      <c r="O654" s="55">
        <f t="shared" si="15"/>
        <v>85808</v>
      </c>
      <c r="P654" s="25" t="s">
        <v>73</v>
      </c>
      <c r="Q654" s="43" t="s">
        <v>393</v>
      </c>
      <c r="R654" s="5">
        <v>25447696</v>
      </c>
      <c r="S654" s="5" t="s">
        <v>394</v>
      </c>
      <c r="T654" s="25" t="s">
        <v>538</v>
      </c>
      <c r="U654" s="43" t="s">
        <v>782</v>
      </c>
    </row>
    <row r="655" spans="1:21" s="1" customFormat="1" ht="26.4" x14ac:dyDescent="0.3">
      <c r="A655" s="25" t="s">
        <v>412</v>
      </c>
      <c r="B655" s="25" t="s">
        <v>1338</v>
      </c>
      <c r="C655" s="25" t="s">
        <v>413</v>
      </c>
      <c r="D655" s="5" t="s">
        <v>22</v>
      </c>
      <c r="E655" s="25">
        <v>1</v>
      </c>
      <c r="F655" s="25" t="s">
        <v>1105</v>
      </c>
      <c r="G655" s="11" t="s">
        <v>23</v>
      </c>
      <c r="H655" s="5" t="s">
        <v>580</v>
      </c>
      <c r="I655" s="25" t="s">
        <v>25</v>
      </c>
      <c r="J655" s="11" t="s">
        <v>26</v>
      </c>
      <c r="K655" s="57">
        <v>43910</v>
      </c>
      <c r="L655" s="57">
        <v>46086</v>
      </c>
      <c r="M655" s="5" t="s">
        <v>1133</v>
      </c>
      <c r="N655" s="25">
        <v>85808</v>
      </c>
      <c r="O655" s="55">
        <f t="shared" si="15"/>
        <v>85808</v>
      </c>
      <c r="P655" s="25" t="s">
        <v>73</v>
      </c>
      <c r="Q655" s="43" t="s">
        <v>393</v>
      </c>
      <c r="R655" s="5">
        <v>25447696</v>
      </c>
      <c r="S655" s="5" t="s">
        <v>394</v>
      </c>
      <c r="T655" s="25" t="s">
        <v>538</v>
      </c>
      <c r="U655" s="43" t="s">
        <v>782</v>
      </c>
    </row>
    <row r="656" spans="1:21" s="1" customFormat="1" ht="14.4" x14ac:dyDescent="0.3">
      <c r="A656" s="25" t="s">
        <v>412</v>
      </c>
      <c r="B656" s="25" t="s">
        <v>783</v>
      </c>
      <c r="C656" s="25" t="s">
        <v>597</v>
      </c>
      <c r="D656" s="5" t="s">
        <v>22</v>
      </c>
      <c r="E656" s="25">
        <v>1</v>
      </c>
      <c r="F656" s="31" t="s">
        <v>784</v>
      </c>
      <c r="G656" s="11" t="s">
        <v>23</v>
      </c>
      <c r="H656" s="5" t="s">
        <v>580</v>
      </c>
      <c r="I656" s="25" t="s">
        <v>25</v>
      </c>
      <c r="J656" s="11" t="s">
        <v>26</v>
      </c>
      <c r="K656" s="53">
        <v>45427</v>
      </c>
      <c r="L656" s="57">
        <v>46039</v>
      </c>
      <c r="M656" s="31">
        <v>18</v>
      </c>
      <c r="N656" s="31">
        <v>42174</v>
      </c>
      <c r="O656" s="55">
        <f t="shared" si="15"/>
        <v>42174</v>
      </c>
      <c r="P656" s="11" t="s">
        <v>73</v>
      </c>
      <c r="Q656" s="47" t="s">
        <v>522</v>
      </c>
      <c r="R656" s="31">
        <v>9324349923</v>
      </c>
      <c r="S656" s="31" t="s">
        <v>523</v>
      </c>
      <c r="T656" s="53" t="s">
        <v>942</v>
      </c>
      <c r="U656" s="43" t="s">
        <v>785</v>
      </c>
    </row>
    <row r="657" spans="1:21" s="1" customFormat="1" ht="66" x14ac:dyDescent="0.3">
      <c r="A657" s="25" t="s">
        <v>786</v>
      </c>
      <c r="B657" s="25" t="s">
        <v>1331</v>
      </c>
      <c r="C657" s="11" t="s">
        <v>1192</v>
      </c>
      <c r="D657" s="5" t="s">
        <v>22</v>
      </c>
      <c r="E657" s="25">
        <v>3</v>
      </c>
      <c r="F657" s="5" t="s">
        <v>1333</v>
      </c>
      <c r="G657" s="11" t="s">
        <v>23</v>
      </c>
      <c r="H657" s="11" t="s">
        <v>24</v>
      </c>
      <c r="I657" s="25" t="s">
        <v>25</v>
      </c>
      <c r="J657" s="11" t="s">
        <v>26</v>
      </c>
      <c r="K657" s="57">
        <v>45015</v>
      </c>
      <c r="L657" s="57">
        <v>46098</v>
      </c>
      <c r="M657" s="25" t="s">
        <v>1332</v>
      </c>
      <c r="N657" s="25">
        <v>128000</v>
      </c>
      <c r="O657" s="55">
        <f t="shared" si="15"/>
        <v>384000</v>
      </c>
      <c r="P657" s="25" t="s">
        <v>50</v>
      </c>
      <c r="Q657" s="43" t="s">
        <v>1193</v>
      </c>
      <c r="R657" s="5" t="s">
        <v>1194</v>
      </c>
      <c r="S657" s="5" t="s">
        <v>1195</v>
      </c>
      <c r="T657" s="25" t="s">
        <v>41</v>
      </c>
      <c r="U657" s="43" t="s">
        <v>786</v>
      </c>
    </row>
    <row r="658" spans="1:21" s="1" customFormat="1" ht="14.4" x14ac:dyDescent="0.3">
      <c r="A658" s="25" t="s">
        <v>787</v>
      </c>
      <c r="B658" s="25" t="s">
        <v>1111</v>
      </c>
      <c r="C658" s="11" t="s">
        <v>37</v>
      </c>
      <c r="D658" s="5" t="s">
        <v>22</v>
      </c>
      <c r="E658" s="25">
        <v>1</v>
      </c>
      <c r="F658" s="25" t="s">
        <v>1109</v>
      </c>
      <c r="G658" s="11" t="s">
        <v>23</v>
      </c>
      <c r="H658" s="11" t="s">
        <v>24</v>
      </c>
      <c r="I658" s="25" t="s">
        <v>25</v>
      </c>
      <c r="J658" s="11" t="s">
        <v>26</v>
      </c>
      <c r="K658" s="57">
        <v>45945</v>
      </c>
      <c r="L658" s="57">
        <v>46071</v>
      </c>
      <c r="M658" s="25" t="s">
        <v>1110</v>
      </c>
      <c r="N658" s="25">
        <v>480560</v>
      </c>
      <c r="O658" s="55">
        <f t="shared" si="15"/>
        <v>480560</v>
      </c>
      <c r="P658" s="25" t="s">
        <v>73</v>
      </c>
      <c r="Q658" s="92"/>
      <c r="R658" s="31"/>
      <c r="S658" s="31"/>
      <c r="T658" s="25"/>
      <c r="U658" s="43" t="s">
        <v>787</v>
      </c>
    </row>
    <row r="659" spans="1:21" s="1" customFormat="1" ht="26.4" x14ac:dyDescent="0.3">
      <c r="A659" s="25" t="s">
        <v>788</v>
      </c>
      <c r="B659" s="25" t="s">
        <v>1186</v>
      </c>
      <c r="C659" s="11" t="s">
        <v>37</v>
      </c>
      <c r="D659" s="5" t="s">
        <v>22</v>
      </c>
      <c r="E659" s="25">
        <v>1</v>
      </c>
      <c r="F659" s="11" t="s">
        <v>1105</v>
      </c>
      <c r="G659" s="11" t="s">
        <v>23</v>
      </c>
      <c r="H659" s="11" t="s">
        <v>24</v>
      </c>
      <c r="I659" s="25" t="s">
        <v>25</v>
      </c>
      <c r="J659" s="11" t="s">
        <v>26</v>
      </c>
      <c r="K659" s="57">
        <v>43762</v>
      </c>
      <c r="L659" s="57">
        <v>46076</v>
      </c>
      <c r="M659" s="25" t="s">
        <v>1187</v>
      </c>
      <c r="N659" s="25">
        <v>153000</v>
      </c>
      <c r="O659" s="55">
        <f t="shared" si="15"/>
        <v>153000</v>
      </c>
      <c r="P659" s="11" t="s">
        <v>73</v>
      </c>
      <c r="Q659" s="43" t="s">
        <v>393</v>
      </c>
      <c r="R659" s="5">
        <v>25447696</v>
      </c>
      <c r="S659" s="5" t="s">
        <v>394</v>
      </c>
      <c r="T659" s="25"/>
      <c r="U659" s="43" t="s">
        <v>788</v>
      </c>
    </row>
    <row r="660" spans="1:21" s="1" customFormat="1" ht="26.4" x14ac:dyDescent="0.3">
      <c r="A660" s="11" t="s">
        <v>789</v>
      </c>
      <c r="B660" s="11" t="s">
        <v>249</v>
      </c>
      <c r="C660" s="11" t="s">
        <v>70</v>
      </c>
      <c r="D660" s="5" t="s">
        <v>22</v>
      </c>
      <c r="E660" s="11">
        <v>1</v>
      </c>
      <c r="F660" s="11" t="s">
        <v>1105</v>
      </c>
      <c r="G660" s="11" t="s">
        <v>23</v>
      </c>
      <c r="H660" s="11" t="s">
        <v>24</v>
      </c>
      <c r="I660" s="11" t="s">
        <v>25</v>
      </c>
      <c r="J660" s="11" t="s">
        <v>26</v>
      </c>
      <c r="K660" s="50">
        <v>43007</v>
      </c>
      <c r="L660" s="50">
        <v>46071</v>
      </c>
      <c r="M660" s="5" t="s">
        <v>939</v>
      </c>
      <c r="N660" s="11">
        <v>681463</v>
      </c>
      <c r="O660" s="55">
        <f t="shared" si="15"/>
        <v>681463</v>
      </c>
      <c r="P660" s="25" t="s">
        <v>50</v>
      </c>
      <c r="Q660" s="43" t="s">
        <v>393</v>
      </c>
      <c r="R660" s="5">
        <v>25447696</v>
      </c>
      <c r="S660" s="5" t="s">
        <v>394</v>
      </c>
      <c r="T660" s="25" t="s">
        <v>538</v>
      </c>
      <c r="U660" s="73" t="s">
        <v>789</v>
      </c>
    </row>
    <row r="661" spans="1:21" s="1" customFormat="1" ht="26.4" x14ac:dyDescent="0.3">
      <c r="A661" s="11" t="s">
        <v>790</v>
      </c>
      <c r="B661" s="11" t="s">
        <v>249</v>
      </c>
      <c r="C661" s="11" t="s">
        <v>70</v>
      </c>
      <c r="D661" s="5" t="s">
        <v>22</v>
      </c>
      <c r="E661" s="11">
        <v>1</v>
      </c>
      <c r="F661" s="11" t="s">
        <v>1105</v>
      </c>
      <c r="G661" s="11" t="s">
        <v>23</v>
      </c>
      <c r="H661" s="11" t="s">
        <v>24</v>
      </c>
      <c r="I661" s="11" t="s">
        <v>25</v>
      </c>
      <c r="J661" s="11" t="s">
        <v>26</v>
      </c>
      <c r="K661" s="50">
        <v>43007</v>
      </c>
      <c r="L661" s="50">
        <v>46071</v>
      </c>
      <c r="M661" s="5" t="s">
        <v>939</v>
      </c>
      <c r="N661" s="11">
        <v>681463</v>
      </c>
      <c r="O661" s="55">
        <f t="shared" si="15"/>
        <v>681463</v>
      </c>
      <c r="P661" s="25" t="s">
        <v>50</v>
      </c>
      <c r="Q661" s="43" t="s">
        <v>393</v>
      </c>
      <c r="R661" s="5">
        <v>25447696</v>
      </c>
      <c r="S661" s="5" t="s">
        <v>394</v>
      </c>
      <c r="T661" s="25" t="s">
        <v>538</v>
      </c>
      <c r="U661" s="73" t="s">
        <v>790</v>
      </c>
    </row>
    <row r="662" spans="1:21" s="1" customFormat="1" ht="26.4" x14ac:dyDescent="0.3">
      <c r="A662" s="11" t="s">
        <v>791</v>
      </c>
      <c r="B662" s="11" t="s">
        <v>249</v>
      </c>
      <c r="C662" s="11" t="s">
        <v>70</v>
      </c>
      <c r="D662" s="5" t="s">
        <v>22</v>
      </c>
      <c r="E662" s="11">
        <v>1</v>
      </c>
      <c r="F662" s="11" t="s">
        <v>1105</v>
      </c>
      <c r="G662" s="11" t="s">
        <v>23</v>
      </c>
      <c r="H662" s="11" t="s">
        <v>24</v>
      </c>
      <c r="I662" s="11" t="s">
        <v>25</v>
      </c>
      <c r="J662" s="11" t="s">
        <v>26</v>
      </c>
      <c r="K662" s="50">
        <v>43007</v>
      </c>
      <c r="L662" s="50">
        <v>46071</v>
      </c>
      <c r="M662" s="5" t="s">
        <v>939</v>
      </c>
      <c r="N662" s="11">
        <v>681463</v>
      </c>
      <c r="O662" s="55">
        <f t="shared" si="15"/>
        <v>681463</v>
      </c>
      <c r="P662" s="25" t="s">
        <v>50</v>
      </c>
      <c r="Q662" s="43" t="s">
        <v>393</v>
      </c>
      <c r="R662" s="5">
        <v>25447696</v>
      </c>
      <c r="S662" s="5" t="s">
        <v>394</v>
      </c>
      <c r="T662" s="25" t="s">
        <v>538</v>
      </c>
      <c r="U662" s="73" t="s">
        <v>791</v>
      </c>
    </row>
    <row r="663" spans="1:21" s="1" customFormat="1" ht="26.4" x14ac:dyDescent="0.3">
      <c r="A663" s="11" t="s">
        <v>792</v>
      </c>
      <c r="B663" s="11" t="s">
        <v>249</v>
      </c>
      <c r="C663" s="11" t="s">
        <v>70</v>
      </c>
      <c r="D663" s="5" t="s">
        <v>22</v>
      </c>
      <c r="E663" s="11">
        <v>1</v>
      </c>
      <c r="F663" s="11" t="s">
        <v>1105</v>
      </c>
      <c r="G663" s="11" t="s">
        <v>23</v>
      </c>
      <c r="H663" s="11" t="s">
        <v>24</v>
      </c>
      <c r="I663" s="11" t="s">
        <v>25</v>
      </c>
      <c r="J663" s="11" t="s">
        <v>26</v>
      </c>
      <c r="K663" s="50">
        <v>43007</v>
      </c>
      <c r="L663" s="50">
        <v>46071</v>
      </c>
      <c r="M663" s="5" t="s">
        <v>939</v>
      </c>
      <c r="N663" s="11">
        <v>681463</v>
      </c>
      <c r="O663" s="55">
        <f t="shared" si="15"/>
        <v>681463</v>
      </c>
      <c r="P663" s="25" t="s">
        <v>50</v>
      </c>
      <c r="Q663" s="43" t="s">
        <v>393</v>
      </c>
      <c r="R663" s="5">
        <v>25447696</v>
      </c>
      <c r="S663" s="5" t="s">
        <v>394</v>
      </c>
      <c r="T663" s="25" t="s">
        <v>538</v>
      </c>
      <c r="U663" s="73" t="s">
        <v>792</v>
      </c>
    </row>
    <row r="664" spans="1:21" s="1" customFormat="1" ht="26.4" x14ac:dyDescent="0.3">
      <c r="A664" s="11" t="s">
        <v>793</v>
      </c>
      <c r="B664" s="11" t="s">
        <v>249</v>
      </c>
      <c r="C664" s="11" t="s">
        <v>70</v>
      </c>
      <c r="D664" s="5" t="s">
        <v>22</v>
      </c>
      <c r="E664" s="11">
        <v>1</v>
      </c>
      <c r="F664" s="11" t="s">
        <v>1105</v>
      </c>
      <c r="G664" s="11" t="s">
        <v>23</v>
      </c>
      <c r="H664" s="11" t="s">
        <v>24</v>
      </c>
      <c r="I664" s="11" t="s">
        <v>25</v>
      </c>
      <c r="J664" s="11" t="s">
        <v>26</v>
      </c>
      <c r="K664" s="50">
        <v>43495</v>
      </c>
      <c r="L664" s="50">
        <v>46071</v>
      </c>
      <c r="M664" s="5" t="s">
        <v>1125</v>
      </c>
      <c r="N664" s="31">
        <v>357707</v>
      </c>
      <c r="O664" s="55">
        <f t="shared" si="15"/>
        <v>357707</v>
      </c>
      <c r="P664" s="25" t="s">
        <v>50</v>
      </c>
      <c r="Q664" s="43" t="s">
        <v>393</v>
      </c>
      <c r="R664" s="5">
        <v>25447696</v>
      </c>
      <c r="S664" s="5" t="s">
        <v>394</v>
      </c>
      <c r="T664" s="25" t="s">
        <v>538</v>
      </c>
      <c r="U664" s="73" t="s">
        <v>793</v>
      </c>
    </row>
    <row r="665" spans="1:21" s="1" customFormat="1" ht="26.4" x14ac:dyDescent="0.3">
      <c r="A665" s="11" t="s">
        <v>794</v>
      </c>
      <c r="B665" s="11" t="s">
        <v>249</v>
      </c>
      <c r="C665" s="11" t="s">
        <v>70</v>
      </c>
      <c r="D665" s="5" t="s">
        <v>22</v>
      </c>
      <c r="E665" s="11">
        <v>1</v>
      </c>
      <c r="F665" s="11" t="s">
        <v>1105</v>
      </c>
      <c r="G665" s="11" t="s">
        <v>23</v>
      </c>
      <c r="H665" s="11" t="s">
        <v>24</v>
      </c>
      <c r="I665" s="11" t="s">
        <v>25</v>
      </c>
      <c r="J665" s="11" t="s">
        <v>26</v>
      </c>
      <c r="K665" s="50">
        <v>43495</v>
      </c>
      <c r="L665" s="50">
        <v>46071</v>
      </c>
      <c r="M665" s="5" t="s">
        <v>1125</v>
      </c>
      <c r="N665" s="11">
        <v>681463</v>
      </c>
      <c r="O665" s="55">
        <f t="shared" si="15"/>
        <v>681463</v>
      </c>
      <c r="P665" s="11" t="s">
        <v>73</v>
      </c>
      <c r="Q665" s="43" t="s">
        <v>393</v>
      </c>
      <c r="R665" s="5">
        <v>25447696</v>
      </c>
      <c r="S665" s="5" t="s">
        <v>394</v>
      </c>
      <c r="T665" s="25" t="s">
        <v>538</v>
      </c>
      <c r="U665" s="73" t="s">
        <v>794</v>
      </c>
    </row>
    <row r="666" spans="1:21" s="1" customFormat="1" ht="26.4" x14ac:dyDescent="0.3">
      <c r="A666" s="25" t="s">
        <v>775</v>
      </c>
      <c r="B666" s="25" t="s">
        <v>795</v>
      </c>
      <c r="C666" s="11" t="s">
        <v>37</v>
      </c>
      <c r="D666" s="11" t="s">
        <v>349</v>
      </c>
      <c r="E666" s="12">
        <v>1</v>
      </c>
      <c r="F666" s="11" t="s">
        <v>37</v>
      </c>
      <c r="G666" s="11" t="s">
        <v>23</v>
      </c>
      <c r="H666" s="11" t="s">
        <v>24</v>
      </c>
      <c r="I666" s="11" t="s">
        <v>25</v>
      </c>
      <c r="J666" s="11" t="s">
        <v>26</v>
      </c>
      <c r="K666" s="52" t="s">
        <v>37</v>
      </c>
      <c r="L666" s="50">
        <v>46101</v>
      </c>
      <c r="M666" s="11" t="s">
        <v>37</v>
      </c>
      <c r="N666" s="11">
        <v>0</v>
      </c>
      <c r="O666" s="55">
        <f t="shared" si="15"/>
        <v>0</v>
      </c>
      <c r="P666" s="24"/>
      <c r="Q666" s="26" t="s">
        <v>37</v>
      </c>
      <c r="R666" s="26" t="s">
        <v>37</v>
      </c>
      <c r="S666" s="26" t="s">
        <v>37</v>
      </c>
      <c r="T666" s="26" t="s">
        <v>37</v>
      </c>
      <c r="U666" s="79" t="s">
        <v>796</v>
      </c>
    </row>
    <row r="667" spans="1:21" s="1" customFormat="1" ht="26.4" x14ac:dyDescent="0.3">
      <c r="A667" s="25" t="s">
        <v>775</v>
      </c>
      <c r="B667" s="25" t="s">
        <v>795</v>
      </c>
      <c r="C667" s="24" t="s">
        <v>37</v>
      </c>
      <c r="D667" s="11" t="s">
        <v>349</v>
      </c>
      <c r="E667" s="12">
        <v>1</v>
      </c>
      <c r="F667" s="11" t="s">
        <v>37</v>
      </c>
      <c r="G667" s="11" t="s">
        <v>23</v>
      </c>
      <c r="H667" s="11" t="s">
        <v>24</v>
      </c>
      <c r="I667" s="11" t="s">
        <v>25</v>
      </c>
      <c r="J667" s="11" t="s">
        <v>26</v>
      </c>
      <c r="K667" s="52" t="s">
        <v>37</v>
      </c>
      <c r="L667" s="50">
        <v>46101</v>
      </c>
      <c r="M667" s="11" t="s">
        <v>37</v>
      </c>
      <c r="N667" s="11">
        <v>0</v>
      </c>
      <c r="O667" s="55">
        <f t="shared" si="15"/>
        <v>0</v>
      </c>
      <c r="P667" s="24"/>
      <c r="Q667" s="26" t="s">
        <v>37</v>
      </c>
      <c r="R667" s="26" t="s">
        <v>37</v>
      </c>
      <c r="S667" s="26" t="s">
        <v>37</v>
      </c>
      <c r="T667" s="26" t="s">
        <v>37</v>
      </c>
      <c r="U667" s="79" t="s">
        <v>796</v>
      </c>
    </row>
    <row r="668" spans="1:21" s="1" customFormat="1" ht="26.4" x14ac:dyDescent="0.3">
      <c r="A668" s="25" t="s">
        <v>775</v>
      </c>
      <c r="B668" s="25" t="s">
        <v>797</v>
      </c>
      <c r="C668" s="24" t="s">
        <v>37</v>
      </c>
      <c r="D668" s="11" t="s">
        <v>349</v>
      </c>
      <c r="E668" s="12">
        <v>1</v>
      </c>
      <c r="F668" s="11" t="s">
        <v>37</v>
      </c>
      <c r="G668" s="11" t="s">
        <v>23</v>
      </c>
      <c r="H668" s="11" t="s">
        <v>24</v>
      </c>
      <c r="I668" s="11" t="s">
        <v>25</v>
      </c>
      <c r="J668" s="11" t="s">
        <v>26</v>
      </c>
      <c r="K668" s="52" t="s">
        <v>37</v>
      </c>
      <c r="L668" s="50">
        <v>46101</v>
      </c>
      <c r="M668" s="11" t="s">
        <v>37</v>
      </c>
      <c r="N668" s="11">
        <v>0</v>
      </c>
      <c r="O668" s="55">
        <f t="shared" si="15"/>
        <v>0</v>
      </c>
      <c r="P668" s="24"/>
      <c r="Q668" s="26" t="s">
        <v>37</v>
      </c>
      <c r="R668" s="26" t="s">
        <v>37</v>
      </c>
      <c r="S668" s="26" t="s">
        <v>37</v>
      </c>
      <c r="T668" s="26" t="s">
        <v>37</v>
      </c>
      <c r="U668" s="79" t="s">
        <v>798</v>
      </c>
    </row>
    <row r="669" spans="1:21" s="1" customFormat="1" ht="26.4" x14ac:dyDescent="0.3">
      <c r="A669" s="24" t="s">
        <v>799</v>
      </c>
      <c r="B669" s="24" t="s">
        <v>840</v>
      </c>
      <c r="C669" s="24" t="s">
        <v>37</v>
      </c>
      <c r="D669" s="11" t="s">
        <v>1207</v>
      </c>
      <c r="E669" s="11">
        <v>1</v>
      </c>
      <c r="F669" s="24" t="s">
        <v>800</v>
      </c>
      <c r="G669" s="11" t="s">
        <v>23</v>
      </c>
      <c r="H669" s="11" t="s">
        <v>24</v>
      </c>
      <c r="I669" s="11" t="s">
        <v>25</v>
      </c>
      <c r="J669" s="11" t="s">
        <v>26</v>
      </c>
      <c r="K669" s="24" t="s">
        <v>37</v>
      </c>
      <c r="L669" s="93">
        <v>46102</v>
      </c>
      <c r="M669" s="24" t="s">
        <v>37</v>
      </c>
      <c r="N669" s="24">
        <v>0</v>
      </c>
      <c r="O669" s="55">
        <f t="shared" si="15"/>
        <v>0</v>
      </c>
      <c r="P669" s="24" t="s">
        <v>50</v>
      </c>
      <c r="Q669" s="24" t="s">
        <v>37</v>
      </c>
      <c r="R669" s="24" t="s">
        <v>37</v>
      </c>
      <c r="S669" s="24" t="s">
        <v>37</v>
      </c>
      <c r="T669" s="28" t="s">
        <v>37</v>
      </c>
      <c r="U669" s="25" t="s">
        <v>803</v>
      </c>
    </row>
    <row r="670" spans="1:21" s="1" customFormat="1" ht="26.4" x14ac:dyDescent="0.3">
      <c r="A670" s="25" t="s">
        <v>799</v>
      </c>
      <c r="B670" s="25" t="s">
        <v>1200</v>
      </c>
      <c r="C670" s="24" t="s">
        <v>37</v>
      </c>
      <c r="D670" s="11" t="s">
        <v>349</v>
      </c>
      <c r="E670" s="11">
        <v>1</v>
      </c>
      <c r="F670" s="24" t="s">
        <v>800</v>
      </c>
      <c r="G670" s="11" t="s">
        <v>23</v>
      </c>
      <c r="H670" s="11" t="s">
        <v>24</v>
      </c>
      <c r="I670" s="11" t="s">
        <v>25</v>
      </c>
      <c r="J670" s="11" t="s">
        <v>26</v>
      </c>
      <c r="K670" s="57">
        <v>43833</v>
      </c>
      <c r="L670" s="57">
        <v>46069</v>
      </c>
      <c r="M670" s="25" t="s">
        <v>980</v>
      </c>
      <c r="N670" s="58">
        <v>3950</v>
      </c>
      <c r="O670" s="55">
        <f t="shared" si="15"/>
        <v>3950</v>
      </c>
      <c r="P670" s="24" t="s">
        <v>73</v>
      </c>
      <c r="Q670" s="79" t="s">
        <v>801</v>
      </c>
      <c r="R670" s="24">
        <v>9768944030</v>
      </c>
      <c r="S670" s="28" t="s">
        <v>802</v>
      </c>
      <c r="T670" s="28"/>
      <c r="U670" s="81"/>
    </row>
    <row r="671" spans="1:21" s="1" customFormat="1" ht="26.4" x14ac:dyDescent="0.3">
      <c r="A671" s="25" t="s">
        <v>799</v>
      </c>
      <c r="B671" s="25" t="s">
        <v>811</v>
      </c>
      <c r="C671" s="24" t="s">
        <v>37</v>
      </c>
      <c r="D671" s="11" t="s">
        <v>349</v>
      </c>
      <c r="E671" s="11">
        <v>1</v>
      </c>
      <c r="F671" s="11" t="s">
        <v>37</v>
      </c>
      <c r="G671" s="11" t="s">
        <v>23</v>
      </c>
      <c r="H671" s="11" t="s">
        <v>24</v>
      </c>
      <c r="I671" s="11" t="s">
        <v>25</v>
      </c>
      <c r="J671" s="11" t="s">
        <v>26</v>
      </c>
      <c r="K671" s="52" t="s">
        <v>37</v>
      </c>
      <c r="L671" s="50">
        <v>46101</v>
      </c>
      <c r="M671" s="25" t="s">
        <v>37</v>
      </c>
      <c r="N671" s="11">
        <v>0</v>
      </c>
      <c r="O671" s="55">
        <f t="shared" si="15"/>
        <v>0</v>
      </c>
      <c r="P671" s="24" t="s">
        <v>50</v>
      </c>
      <c r="Q671" s="26" t="s">
        <v>37</v>
      </c>
      <c r="R671" s="26" t="s">
        <v>37</v>
      </c>
      <c r="S671" s="26" t="s">
        <v>37</v>
      </c>
      <c r="T671" s="26" t="s">
        <v>37</v>
      </c>
      <c r="U671" s="81"/>
    </row>
    <row r="672" spans="1:21" s="1" customFormat="1" ht="26.4" x14ac:dyDescent="0.3">
      <c r="A672" s="25" t="s">
        <v>799</v>
      </c>
      <c r="B672" s="25" t="s">
        <v>1200</v>
      </c>
      <c r="C672" s="24" t="s">
        <v>37</v>
      </c>
      <c r="D672" s="11" t="s">
        <v>349</v>
      </c>
      <c r="E672" s="11">
        <v>1</v>
      </c>
      <c r="F672" s="24" t="s">
        <v>800</v>
      </c>
      <c r="G672" s="11" t="s">
        <v>23</v>
      </c>
      <c r="H672" s="11" t="s">
        <v>24</v>
      </c>
      <c r="I672" s="11" t="s">
        <v>25</v>
      </c>
      <c r="J672" s="11" t="s">
        <v>26</v>
      </c>
      <c r="K672" s="57">
        <v>43833</v>
      </c>
      <c r="L672" s="57">
        <v>46069</v>
      </c>
      <c r="M672" s="25" t="s">
        <v>980</v>
      </c>
      <c r="N672" s="58">
        <v>3950</v>
      </c>
      <c r="O672" s="55">
        <f t="shared" si="15"/>
        <v>3950</v>
      </c>
      <c r="P672" s="24" t="s">
        <v>73</v>
      </c>
      <c r="Q672" s="79" t="s">
        <v>801</v>
      </c>
      <c r="R672" s="24">
        <v>9768944030</v>
      </c>
      <c r="S672" s="28" t="s">
        <v>802</v>
      </c>
      <c r="T672" s="28"/>
      <c r="U672" s="81"/>
    </row>
    <row r="673" spans="1:21" s="1" customFormat="1" ht="26.4" x14ac:dyDescent="0.3">
      <c r="A673" s="25" t="s">
        <v>799</v>
      </c>
      <c r="B673" s="25" t="s">
        <v>1200</v>
      </c>
      <c r="C673" s="24" t="s">
        <v>37</v>
      </c>
      <c r="D673" s="11" t="s">
        <v>349</v>
      </c>
      <c r="E673" s="11">
        <v>1</v>
      </c>
      <c r="F673" s="24" t="s">
        <v>800</v>
      </c>
      <c r="G673" s="11" t="s">
        <v>23</v>
      </c>
      <c r="H673" s="11" t="s">
        <v>24</v>
      </c>
      <c r="I673" s="11" t="s">
        <v>25</v>
      </c>
      <c r="J673" s="11" t="s">
        <v>26</v>
      </c>
      <c r="K673" s="57">
        <v>43833</v>
      </c>
      <c r="L673" s="57">
        <v>46069</v>
      </c>
      <c r="M673" s="25" t="s">
        <v>980</v>
      </c>
      <c r="N673" s="58">
        <v>3950</v>
      </c>
      <c r="O673" s="55">
        <f t="shared" si="15"/>
        <v>3950</v>
      </c>
      <c r="P673" s="24" t="s">
        <v>73</v>
      </c>
      <c r="Q673" s="79" t="s">
        <v>801</v>
      </c>
      <c r="R673" s="24">
        <v>9768944030</v>
      </c>
      <c r="S673" s="28" t="s">
        <v>802</v>
      </c>
      <c r="T673" s="28"/>
      <c r="U673" s="81"/>
    </row>
    <row r="674" spans="1:21" s="1" customFormat="1" ht="26.4" x14ac:dyDescent="0.3">
      <c r="A674" s="25" t="s">
        <v>807</v>
      </c>
      <c r="B674" s="25" t="s">
        <v>1264</v>
      </c>
      <c r="C674" s="25" t="s">
        <v>37</v>
      </c>
      <c r="D674" s="5" t="s">
        <v>22</v>
      </c>
      <c r="E674" s="11">
        <v>6</v>
      </c>
      <c r="F674" s="25" t="s">
        <v>1105</v>
      </c>
      <c r="G674" s="11" t="s">
        <v>23</v>
      </c>
      <c r="H674" s="11" t="s">
        <v>24</v>
      </c>
      <c r="I674" s="11" t="s">
        <v>25</v>
      </c>
      <c r="J674" s="11" t="s">
        <v>26</v>
      </c>
      <c r="K674" s="57">
        <v>43910</v>
      </c>
      <c r="L674" s="57">
        <v>46086</v>
      </c>
      <c r="M674" s="5" t="s">
        <v>1133</v>
      </c>
      <c r="N674" s="25">
        <v>3668</v>
      </c>
      <c r="O674" s="55">
        <f t="shared" si="15"/>
        <v>22008</v>
      </c>
      <c r="P674" s="25" t="s">
        <v>50</v>
      </c>
      <c r="Q674" s="43" t="s">
        <v>393</v>
      </c>
      <c r="R674" s="5">
        <v>25447696</v>
      </c>
      <c r="S674" s="5" t="s">
        <v>394</v>
      </c>
      <c r="T674" s="25"/>
      <c r="U674" s="43" t="s">
        <v>807</v>
      </c>
    </row>
    <row r="675" spans="1:21" s="1" customFormat="1" ht="26.4" x14ac:dyDescent="0.3">
      <c r="A675" s="25" t="s">
        <v>807</v>
      </c>
      <c r="B675" s="25" t="s">
        <v>1263</v>
      </c>
      <c r="C675" s="25" t="s">
        <v>37</v>
      </c>
      <c r="D675" s="5" t="s">
        <v>22</v>
      </c>
      <c r="E675" s="11">
        <v>2</v>
      </c>
      <c r="F675" s="25" t="s">
        <v>1105</v>
      </c>
      <c r="G675" s="11" t="s">
        <v>23</v>
      </c>
      <c r="H675" s="11" t="s">
        <v>24</v>
      </c>
      <c r="I675" s="11" t="s">
        <v>25</v>
      </c>
      <c r="J675" s="11" t="s">
        <v>26</v>
      </c>
      <c r="K675" s="57">
        <v>43910</v>
      </c>
      <c r="L675" s="57">
        <v>46086</v>
      </c>
      <c r="M675" s="5" t="s">
        <v>1133</v>
      </c>
      <c r="N675" s="25">
        <v>5054</v>
      </c>
      <c r="O675" s="55">
        <f t="shared" si="15"/>
        <v>10108</v>
      </c>
      <c r="P675" s="25" t="s">
        <v>50</v>
      </c>
      <c r="Q675" s="43" t="s">
        <v>393</v>
      </c>
      <c r="R675" s="5">
        <v>25447696</v>
      </c>
      <c r="S675" s="5" t="s">
        <v>394</v>
      </c>
      <c r="T675" s="25"/>
      <c r="U675" s="43" t="s">
        <v>807</v>
      </c>
    </row>
    <row r="676" spans="1:21" s="1" customFormat="1" ht="26.4" x14ac:dyDescent="0.3">
      <c r="A676" s="25" t="s">
        <v>1157</v>
      </c>
      <c r="B676" s="25" t="s">
        <v>1134</v>
      </c>
      <c r="C676" s="25" t="s">
        <v>1135</v>
      </c>
      <c r="D676" s="5" t="s">
        <v>22</v>
      </c>
      <c r="E676" s="11">
        <v>3</v>
      </c>
      <c r="F676" s="11" t="s">
        <v>970</v>
      </c>
      <c r="G676" s="11" t="s">
        <v>23</v>
      </c>
      <c r="H676" s="11" t="s">
        <v>24</v>
      </c>
      <c r="I676" s="11" t="s">
        <v>25</v>
      </c>
      <c r="J676" s="11" t="s">
        <v>26</v>
      </c>
      <c r="K676" s="50">
        <v>43495</v>
      </c>
      <c r="L676" s="50">
        <v>46071</v>
      </c>
      <c r="M676" s="5" t="s">
        <v>1138</v>
      </c>
      <c r="N676" s="25">
        <v>2010216</v>
      </c>
      <c r="O676" s="55">
        <f t="shared" si="15"/>
        <v>6030648</v>
      </c>
      <c r="P676" s="25" t="s">
        <v>50</v>
      </c>
      <c r="Q676" s="43" t="s">
        <v>1117</v>
      </c>
      <c r="R676" s="5" t="s">
        <v>1118</v>
      </c>
      <c r="S676" s="5" t="s">
        <v>1119</v>
      </c>
      <c r="T676" s="25" t="s">
        <v>538</v>
      </c>
      <c r="U676" s="43"/>
    </row>
    <row r="677" spans="1:21" s="1" customFormat="1" ht="26.4" x14ac:dyDescent="0.3">
      <c r="A677" s="25" t="s">
        <v>1157</v>
      </c>
      <c r="B677" s="25" t="s">
        <v>1136</v>
      </c>
      <c r="C677" s="25" t="s">
        <v>1135</v>
      </c>
      <c r="D677" s="5" t="s">
        <v>22</v>
      </c>
      <c r="E677" s="11">
        <v>2</v>
      </c>
      <c r="F677" s="11" t="s">
        <v>970</v>
      </c>
      <c r="G677" s="11" t="s">
        <v>23</v>
      </c>
      <c r="H677" s="11" t="s">
        <v>24</v>
      </c>
      <c r="I677" s="11" t="s">
        <v>25</v>
      </c>
      <c r="J677" s="11" t="s">
        <v>26</v>
      </c>
      <c r="K677" s="50">
        <v>43495</v>
      </c>
      <c r="L677" s="50">
        <v>46071</v>
      </c>
      <c r="M677" s="5" t="s">
        <v>973</v>
      </c>
      <c r="N677" s="25">
        <v>2010216</v>
      </c>
      <c r="O677" s="55">
        <f t="shared" si="15"/>
        <v>4020432</v>
      </c>
      <c r="P677" s="25" t="s">
        <v>50</v>
      </c>
      <c r="Q677" s="43" t="s">
        <v>1117</v>
      </c>
      <c r="R677" s="5" t="s">
        <v>1118</v>
      </c>
      <c r="S677" s="5" t="s">
        <v>1119</v>
      </c>
      <c r="T677" s="25" t="s">
        <v>1145</v>
      </c>
      <c r="U677" s="43"/>
    </row>
    <row r="678" spans="1:21" s="1" customFormat="1" ht="26.4" x14ac:dyDescent="0.3">
      <c r="A678" s="25" t="s">
        <v>1157</v>
      </c>
      <c r="B678" s="25" t="s">
        <v>1137</v>
      </c>
      <c r="C678" s="25" t="s">
        <v>363</v>
      </c>
      <c r="D678" s="5" t="s">
        <v>22</v>
      </c>
      <c r="E678" s="11">
        <v>1</v>
      </c>
      <c r="F678" s="11" t="s">
        <v>970</v>
      </c>
      <c r="G678" s="11" t="s">
        <v>23</v>
      </c>
      <c r="H678" s="11" t="s">
        <v>24</v>
      </c>
      <c r="I678" s="11" t="s">
        <v>25</v>
      </c>
      <c r="J678" s="11" t="s">
        <v>26</v>
      </c>
      <c r="K678" s="50">
        <v>43495</v>
      </c>
      <c r="L678" s="50">
        <v>46071</v>
      </c>
      <c r="M678" s="5" t="s">
        <v>37</v>
      </c>
      <c r="N678" s="25">
        <v>2010216</v>
      </c>
      <c r="O678" s="55">
        <f t="shared" si="15"/>
        <v>2010216</v>
      </c>
      <c r="P678" s="11" t="s">
        <v>73</v>
      </c>
      <c r="Q678" s="43" t="s">
        <v>1117</v>
      </c>
      <c r="R678" s="5" t="s">
        <v>1118</v>
      </c>
      <c r="S678" s="5" t="s">
        <v>1119</v>
      </c>
      <c r="T678" s="25" t="s">
        <v>37</v>
      </c>
      <c r="U678" s="43"/>
    </row>
    <row r="679" spans="1:21" s="1" customFormat="1" ht="26.4" x14ac:dyDescent="0.3">
      <c r="A679" s="25" t="s">
        <v>799</v>
      </c>
      <c r="B679" s="24" t="s">
        <v>1200</v>
      </c>
      <c r="C679" s="25" t="s">
        <v>37</v>
      </c>
      <c r="D679" s="5" t="s">
        <v>22</v>
      </c>
      <c r="E679" s="11">
        <v>6</v>
      </c>
      <c r="F679" s="25" t="s">
        <v>800</v>
      </c>
      <c r="G679" s="11" t="s">
        <v>23</v>
      </c>
      <c r="H679" s="11" t="s">
        <v>24</v>
      </c>
      <c r="I679" s="11" t="s">
        <v>25</v>
      </c>
      <c r="J679" s="11" t="s">
        <v>26</v>
      </c>
      <c r="K679" s="57">
        <v>43833</v>
      </c>
      <c r="L679" s="57">
        <v>46069</v>
      </c>
      <c r="M679" s="25" t="s">
        <v>980</v>
      </c>
      <c r="N679" s="58">
        <v>3950</v>
      </c>
      <c r="O679" s="55">
        <f t="shared" si="15"/>
        <v>23700</v>
      </c>
      <c r="P679" s="24" t="s">
        <v>73</v>
      </c>
      <c r="Q679" s="43" t="s">
        <v>801</v>
      </c>
      <c r="R679" s="25">
        <v>9768944030</v>
      </c>
      <c r="S679" s="5" t="s">
        <v>802</v>
      </c>
      <c r="T679" s="5" t="s">
        <v>1144</v>
      </c>
      <c r="U679" s="43" t="s">
        <v>969</v>
      </c>
    </row>
    <row r="680" spans="1:21" s="1" customFormat="1" ht="26.4" x14ac:dyDescent="0.3">
      <c r="A680" s="25" t="s">
        <v>799</v>
      </c>
      <c r="B680" s="25" t="s">
        <v>811</v>
      </c>
      <c r="C680" s="25" t="s">
        <v>37</v>
      </c>
      <c r="D680" s="5" t="s">
        <v>22</v>
      </c>
      <c r="E680" s="11">
        <v>1</v>
      </c>
      <c r="F680" s="25" t="s">
        <v>800</v>
      </c>
      <c r="G680" s="11" t="s">
        <v>23</v>
      </c>
      <c r="H680" s="11" t="s">
        <v>24</v>
      </c>
      <c r="I680" s="11" t="s">
        <v>25</v>
      </c>
      <c r="J680" s="11" t="s">
        <v>26</v>
      </c>
      <c r="K680" s="24" t="s">
        <v>37</v>
      </c>
      <c r="L680" s="93">
        <v>46102</v>
      </c>
      <c r="M680" s="24" t="s">
        <v>37</v>
      </c>
      <c r="N680" s="24">
        <v>0</v>
      </c>
      <c r="O680" s="55">
        <f t="shared" si="15"/>
        <v>0</v>
      </c>
      <c r="P680" s="24" t="s">
        <v>50</v>
      </c>
      <c r="Q680" s="24" t="s">
        <v>37</v>
      </c>
      <c r="R680" s="24" t="s">
        <v>37</v>
      </c>
      <c r="S680" s="24" t="s">
        <v>37</v>
      </c>
      <c r="T680" s="28" t="s">
        <v>37</v>
      </c>
      <c r="U680" s="43" t="s">
        <v>812</v>
      </c>
    </row>
    <row r="681" spans="1:21" s="1" customFormat="1" ht="26.4" x14ac:dyDescent="0.3">
      <c r="A681" s="25" t="s">
        <v>799</v>
      </c>
      <c r="B681" s="25" t="s">
        <v>811</v>
      </c>
      <c r="C681" s="25" t="s">
        <v>37</v>
      </c>
      <c r="D681" s="5" t="s">
        <v>22</v>
      </c>
      <c r="E681" s="11">
        <v>1</v>
      </c>
      <c r="F681" s="25" t="s">
        <v>800</v>
      </c>
      <c r="G681" s="11" t="s">
        <v>23</v>
      </c>
      <c r="H681" s="11" t="s">
        <v>24</v>
      </c>
      <c r="I681" s="11" t="s">
        <v>25</v>
      </c>
      <c r="J681" s="11" t="s">
        <v>26</v>
      </c>
      <c r="K681" s="24" t="s">
        <v>37</v>
      </c>
      <c r="L681" s="93">
        <v>46102</v>
      </c>
      <c r="M681" s="24" t="s">
        <v>37</v>
      </c>
      <c r="N681" s="24">
        <v>0</v>
      </c>
      <c r="O681" s="55">
        <f t="shared" si="15"/>
        <v>0</v>
      </c>
      <c r="P681" s="24" t="s">
        <v>50</v>
      </c>
      <c r="Q681" s="24" t="s">
        <v>37</v>
      </c>
      <c r="R681" s="24" t="s">
        <v>37</v>
      </c>
      <c r="S681" s="24" t="s">
        <v>37</v>
      </c>
      <c r="T681" s="28" t="s">
        <v>37</v>
      </c>
      <c r="U681" s="43" t="s">
        <v>813</v>
      </c>
    </row>
    <row r="682" spans="1:21" s="1" customFormat="1" ht="26.4" x14ac:dyDescent="0.3">
      <c r="A682" s="25" t="s">
        <v>799</v>
      </c>
      <c r="B682" s="25" t="s">
        <v>811</v>
      </c>
      <c r="C682" s="25" t="s">
        <v>37</v>
      </c>
      <c r="D682" s="5" t="s">
        <v>22</v>
      </c>
      <c r="E682" s="11">
        <v>1</v>
      </c>
      <c r="F682" s="25" t="s">
        <v>800</v>
      </c>
      <c r="G682" s="11" t="s">
        <v>23</v>
      </c>
      <c r="H682" s="11" t="s">
        <v>24</v>
      </c>
      <c r="I682" s="11" t="s">
        <v>25</v>
      </c>
      <c r="J682" s="11" t="s">
        <v>26</v>
      </c>
      <c r="K682" s="24" t="s">
        <v>37</v>
      </c>
      <c r="L682" s="93">
        <v>46102</v>
      </c>
      <c r="M682" s="24" t="s">
        <v>37</v>
      </c>
      <c r="N682" s="24">
        <v>0</v>
      </c>
      <c r="O682" s="55">
        <f t="shared" si="15"/>
        <v>0</v>
      </c>
      <c r="P682" s="24" t="s">
        <v>50</v>
      </c>
      <c r="Q682" s="24" t="s">
        <v>37</v>
      </c>
      <c r="R682" s="24" t="s">
        <v>37</v>
      </c>
      <c r="S682" s="24" t="s">
        <v>37</v>
      </c>
      <c r="T682" s="28" t="s">
        <v>37</v>
      </c>
      <c r="U682" s="43" t="s">
        <v>814</v>
      </c>
    </row>
    <row r="683" spans="1:21" s="1" customFormat="1" ht="26.4" x14ac:dyDescent="0.3">
      <c r="A683" s="25" t="s">
        <v>799</v>
      </c>
      <c r="B683" s="25" t="s">
        <v>811</v>
      </c>
      <c r="C683" s="25" t="s">
        <v>37</v>
      </c>
      <c r="D683" s="5" t="s">
        <v>22</v>
      </c>
      <c r="E683" s="11">
        <v>1</v>
      </c>
      <c r="F683" s="25" t="s">
        <v>800</v>
      </c>
      <c r="G683" s="11" t="s">
        <v>23</v>
      </c>
      <c r="H683" s="11" t="s">
        <v>24</v>
      </c>
      <c r="I683" s="11" t="s">
        <v>25</v>
      </c>
      <c r="J683" s="11" t="s">
        <v>26</v>
      </c>
      <c r="K683" s="24" t="s">
        <v>37</v>
      </c>
      <c r="L683" s="93">
        <v>46102</v>
      </c>
      <c r="M683" s="24" t="s">
        <v>37</v>
      </c>
      <c r="N683" s="24">
        <v>0</v>
      </c>
      <c r="O683" s="55">
        <f t="shared" si="15"/>
        <v>0</v>
      </c>
      <c r="P683" s="24" t="s">
        <v>50</v>
      </c>
      <c r="Q683" s="24" t="s">
        <v>37</v>
      </c>
      <c r="R683" s="24" t="s">
        <v>37</v>
      </c>
      <c r="S683" s="24" t="s">
        <v>37</v>
      </c>
      <c r="T683" s="28" t="s">
        <v>37</v>
      </c>
      <c r="U683" s="43" t="s">
        <v>815</v>
      </c>
    </row>
    <row r="684" spans="1:21" s="1" customFormat="1" ht="14.4" x14ac:dyDescent="0.3">
      <c r="A684" s="25" t="s">
        <v>816</v>
      </c>
      <c r="B684" s="25" t="s">
        <v>817</v>
      </c>
      <c r="C684" s="25" t="s">
        <v>37</v>
      </c>
      <c r="D684" s="5" t="s">
        <v>22</v>
      </c>
      <c r="E684" s="25">
        <v>1</v>
      </c>
      <c r="F684" s="25" t="s">
        <v>37</v>
      </c>
      <c r="G684" s="11" t="s">
        <v>23</v>
      </c>
      <c r="H684" s="11" t="s">
        <v>24</v>
      </c>
      <c r="I684" s="11" t="s">
        <v>25</v>
      </c>
      <c r="J684" s="11" t="s">
        <v>26</v>
      </c>
      <c r="K684" s="25" t="s">
        <v>37</v>
      </c>
      <c r="L684" s="25" t="s">
        <v>37</v>
      </c>
      <c r="M684" s="25" t="s">
        <v>37</v>
      </c>
      <c r="N684" s="25" t="s">
        <v>37</v>
      </c>
      <c r="O684" s="25" t="s">
        <v>37</v>
      </c>
      <c r="P684" s="25" t="s">
        <v>37</v>
      </c>
      <c r="Q684" s="25" t="s">
        <v>37</v>
      </c>
      <c r="R684" s="25" t="s">
        <v>37</v>
      </c>
      <c r="S684" s="25" t="s">
        <v>37</v>
      </c>
      <c r="T684" s="25" t="s">
        <v>37</v>
      </c>
      <c r="U684" s="43" t="s">
        <v>816</v>
      </c>
    </row>
    <row r="685" spans="1:21" s="1" customFormat="1" ht="26.4" x14ac:dyDescent="0.3">
      <c r="A685" s="5" t="s">
        <v>818</v>
      </c>
      <c r="B685" s="5" t="s">
        <v>819</v>
      </c>
      <c r="C685" s="5" t="s">
        <v>820</v>
      </c>
      <c r="D685" s="5" t="s">
        <v>22</v>
      </c>
      <c r="E685" s="5">
        <v>1</v>
      </c>
      <c r="F685" s="5" t="s">
        <v>821</v>
      </c>
      <c r="G685" s="5" t="s">
        <v>23</v>
      </c>
      <c r="H685" s="5" t="s">
        <v>408</v>
      </c>
      <c r="I685" s="25" t="s">
        <v>25</v>
      </c>
      <c r="J685" s="11" t="s">
        <v>26</v>
      </c>
      <c r="K685" s="52">
        <v>44987</v>
      </c>
      <c r="L685" s="52">
        <v>46022</v>
      </c>
      <c r="M685" s="5" t="s">
        <v>822</v>
      </c>
      <c r="N685" s="5">
        <v>6500</v>
      </c>
      <c r="O685" s="55">
        <f t="shared" ref="O685:O691" si="16">N685*E685</f>
        <v>6500</v>
      </c>
      <c r="P685" s="5" t="s">
        <v>50</v>
      </c>
      <c r="Q685" s="43" t="s">
        <v>823</v>
      </c>
      <c r="R685" s="5">
        <v>9820797926</v>
      </c>
      <c r="S685" s="5" t="s">
        <v>824</v>
      </c>
      <c r="T685" s="5" t="s">
        <v>32</v>
      </c>
      <c r="U685" s="43" t="s">
        <v>818</v>
      </c>
    </row>
    <row r="686" spans="1:21" s="1" customFormat="1" ht="26.4" x14ac:dyDescent="0.3">
      <c r="A686" s="5" t="s">
        <v>825</v>
      </c>
      <c r="B686" s="5" t="s">
        <v>826</v>
      </c>
      <c r="C686" s="5" t="s">
        <v>512</v>
      </c>
      <c r="D686" s="5" t="s">
        <v>22</v>
      </c>
      <c r="E686" s="5">
        <v>1</v>
      </c>
      <c r="F686" s="5" t="s">
        <v>821</v>
      </c>
      <c r="G686" s="5" t="s">
        <v>23</v>
      </c>
      <c r="H686" s="5" t="s">
        <v>408</v>
      </c>
      <c r="I686" s="25" t="s">
        <v>25</v>
      </c>
      <c r="J686" s="11" t="s">
        <v>26</v>
      </c>
      <c r="K686" s="52">
        <v>44987</v>
      </c>
      <c r="L686" s="52">
        <v>46022</v>
      </c>
      <c r="M686" s="5" t="s">
        <v>822</v>
      </c>
      <c r="N686" s="5">
        <v>5000</v>
      </c>
      <c r="O686" s="55">
        <f t="shared" si="16"/>
        <v>5000</v>
      </c>
      <c r="P686" s="5" t="s">
        <v>50</v>
      </c>
      <c r="Q686" s="43" t="s">
        <v>823</v>
      </c>
      <c r="R686" s="5">
        <v>9820797926</v>
      </c>
      <c r="S686" s="5" t="s">
        <v>824</v>
      </c>
      <c r="T686" s="5" t="s">
        <v>32</v>
      </c>
      <c r="U686" s="5" t="s">
        <v>37</v>
      </c>
    </row>
    <row r="687" spans="1:21" s="1" customFormat="1" ht="14.4" x14ac:dyDescent="0.3">
      <c r="A687" s="5" t="s">
        <v>825</v>
      </c>
      <c r="B687" s="5" t="s">
        <v>826</v>
      </c>
      <c r="C687" s="5" t="s">
        <v>512</v>
      </c>
      <c r="D687" s="5" t="s">
        <v>22</v>
      </c>
      <c r="E687" s="5">
        <v>1</v>
      </c>
      <c r="F687" s="5" t="s">
        <v>513</v>
      </c>
      <c r="G687" s="5" t="s">
        <v>23</v>
      </c>
      <c r="H687" s="5" t="s">
        <v>408</v>
      </c>
      <c r="I687" s="25" t="s">
        <v>25</v>
      </c>
      <c r="J687" s="11" t="s">
        <v>26</v>
      </c>
      <c r="K687" s="85">
        <v>44968</v>
      </c>
      <c r="L687" s="85">
        <v>46022</v>
      </c>
      <c r="M687" s="28" t="s">
        <v>514</v>
      </c>
      <c r="N687" s="28">
        <f>6450+1161</f>
        <v>7611</v>
      </c>
      <c r="O687" s="55">
        <f t="shared" si="16"/>
        <v>7611</v>
      </c>
      <c r="P687" s="5" t="s">
        <v>50</v>
      </c>
      <c r="Q687" s="78" t="s">
        <v>409</v>
      </c>
      <c r="R687" s="26">
        <v>9930806009</v>
      </c>
      <c r="S687" s="26" t="s">
        <v>515</v>
      </c>
      <c r="T687" s="5" t="s">
        <v>41</v>
      </c>
      <c r="U687" s="5" t="s">
        <v>37</v>
      </c>
    </row>
    <row r="688" spans="1:21" s="1" customFormat="1" ht="26.4" x14ac:dyDescent="0.3">
      <c r="A688" s="11" t="s">
        <v>828</v>
      </c>
      <c r="B688" s="11" t="s">
        <v>249</v>
      </c>
      <c r="C688" s="11" t="s">
        <v>829</v>
      </c>
      <c r="D688" s="11" t="s">
        <v>49</v>
      </c>
      <c r="E688" s="12">
        <v>1</v>
      </c>
      <c r="F688" s="11" t="s">
        <v>37</v>
      </c>
      <c r="G688" s="11" t="s">
        <v>23</v>
      </c>
      <c r="H688" s="11" t="s">
        <v>24</v>
      </c>
      <c r="I688" s="11" t="s">
        <v>25</v>
      </c>
      <c r="J688" s="11" t="s">
        <v>26</v>
      </c>
      <c r="K688" s="11" t="s">
        <v>37</v>
      </c>
      <c r="L688" s="93">
        <v>46102</v>
      </c>
      <c r="M688" s="11" t="s">
        <v>37</v>
      </c>
      <c r="N688" s="34">
        <v>0</v>
      </c>
      <c r="O688" s="55">
        <f t="shared" si="16"/>
        <v>0</v>
      </c>
      <c r="P688" s="11"/>
      <c r="Q688" s="11" t="s">
        <v>37</v>
      </c>
      <c r="R688" s="11" t="s">
        <v>37</v>
      </c>
      <c r="S688" s="11" t="s">
        <v>37</v>
      </c>
      <c r="T688" s="11" t="s">
        <v>37</v>
      </c>
      <c r="U688" s="11" t="s">
        <v>37</v>
      </c>
    </row>
    <row r="689" spans="1:21" s="1" customFormat="1" ht="26.4" x14ac:dyDescent="0.3">
      <c r="A689" s="11" t="s">
        <v>830</v>
      </c>
      <c r="B689" s="11" t="s">
        <v>249</v>
      </c>
      <c r="C689" s="11" t="s">
        <v>831</v>
      </c>
      <c r="D689" s="11" t="s">
        <v>49</v>
      </c>
      <c r="E689" s="11">
        <v>1</v>
      </c>
      <c r="F689" s="11"/>
      <c r="G689" s="11" t="s">
        <v>23</v>
      </c>
      <c r="H689" s="11" t="s">
        <v>24</v>
      </c>
      <c r="I689" s="11" t="s">
        <v>25</v>
      </c>
      <c r="J689" s="11" t="s">
        <v>26</v>
      </c>
      <c r="K689" s="11"/>
      <c r="L689" s="50"/>
      <c r="M689" s="11" t="s">
        <v>37</v>
      </c>
      <c r="N689" s="11">
        <v>0</v>
      </c>
      <c r="O689" s="55">
        <f t="shared" si="16"/>
        <v>0</v>
      </c>
      <c r="P689" s="11" t="s">
        <v>73</v>
      </c>
      <c r="Q689" s="75" t="s">
        <v>37</v>
      </c>
      <c r="R689" s="75" t="s">
        <v>37</v>
      </c>
      <c r="S689" s="75" t="s">
        <v>37</v>
      </c>
      <c r="T689" s="11" t="s">
        <v>37</v>
      </c>
      <c r="U689" s="11" t="s">
        <v>37</v>
      </c>
    </row>
    <row r="690" spans="1:21" s="1" customFormat="1" ht="26.4" x14ac:dyDescent="0.3">
      <c r="A690" s="11" t="s">
        <v>832</v>
      </c>
      <c r="B690" s="11" t="s">
        <v>249</v>
      </c>
      <c r="C690" s="11" t="s">
        <v>831</v>
      </c>
      <c r="D690" s="11" t="s">
        <v>49</v>
      </c>
      <c r="E690" s="12">
        <v>1</v>
      </c>
      <c r="F690" s="11" t="s">
        <v>37</v>
      </c>
      <c r="G690" s="11" t="s">
        <v>23</v>
      </c>
      <c r="H690" s="11" t="s">
        <v>24</v>
      </c>
      <c r="I690" s="11" t="s">
        <v>25</v>
      </c>
      <c r="J690" s="11" t="s">
        <v>26</v>
      </c>
      <c r="K690" s="11" t="s">
        <v>37</v>
      </c>
      <c r="L690" s="93">
        <v>46102</v>
      </c>
      <c r="M690" s="11" t="s">
        <v>37</v>
      </c>
      <c r="N690" s="34">
        <v>0</v>
      </c>
      <c r="O690" s="55">
        <f t="shared" si="16"/>
        <v>0</v>
      </c>
      <c r="P690" s="11"/>
      <c r="Q690" s="11" t="s">
        <v>37</v>
      </c>
      <c r="R690" s="11" t="s">
        <v>37</v>
      </c>
      <c r="S690" s="11" t="s">
        <v>37</v>
      </c>
      <c r="T690" s="11" t="s">
        <v>37</v>
      </c>
      <c r="U690" s="11" t="s">
        <v>37</v>
      </c>
    </row>
    <row r="691" spans="1:21" s="1" customFormat="1" ht="14.4" x14ac:dyDescent="0.3">
      <c r="A691" s="11" t="s">
        <v>1140</v>
      </c>
      <c r="B691" s="46" t="s">
        <v>1142</v>
      </c>
      <c r="C691" s="11" t="s">
        <v>831</v>
      </c>
      <c r="D691" s="11" t="s">
        <v>49</v>
      </c>
      <c r="E691" s="12">
        <v>1</v>
      </c>
      <c r="F691" s="11" t="s">
        <v>37</v>
      </c>
      <c r="G691" s="11" t="s">
        <v>23</v>
      </c>
      <c r="H691" s="11" t="s">
        <v>24</v>
      </c>
      <c r="I691" s="11" t="s">
        <v>25</v>
      </c>
      <c r="J691" s="11" t="s">
        <v>26</v>
      </c>
      <c r="K691" s="11" t="s">
        <v>37</v>
      </c>
      <c r="L691" s="50">
        <v>46073</v>
      </c>
      <c r="M691" s="11" t="s">
        <v>37</v>
      </c>
      <c r="N691" s="54">
        <v>0</v>
      </c>
      <c r="O691" s="55">
        <f t="shared" si="16"/>
        <v>0</v>
      </c>
      <c r="P691" s="26"/>
      <c r="Q691" s="75" t="s">
        <v>37</v>
      </c>
      <c r="R691" s="75" t="s">
        <v>37</v>
      </c>
      <c r="S691" s="75" t="s">
        <v>37</v>
      </c>
      <c r="T691" s="11" t="s">
        <v>37</v>
      </c>
      <c r="U691" s="11" t="s">
        <v>37</v>
      </c>
    </row>
    <row r="692" spans="1:21" s="1" customFormat="1" ht="14.4" x14ac:dyDescent="0.3">
      <c r="A692" s="11" t="s">
        <v>1141</v>
      </c>
      <c r="B692" s="46" t="s">
        <v>1142</v>
      </c>
      <c r="C692" s="12"/>
      <c r="D692" s="12" t="s">
        <v>49</v>
      </c>
      <c r="E692" s="12">
        <v>1</v>
      </c>
      <c r="F692" s="11"/>
      <c r="G692" s="12" t="s">
        <v>23</v>
      </c>
      <c r="H692" s="12" t="s">
        <v>24</v>
      </c>
      <c r="I692" s="12" t="s">
        <v>25</v>
      </c>
      <c r="J692" s="12" t="s">
        <v>1143</v>
      </c>
      <c r="K692" s="12" t="s">
        <v>37</v>
      </c>
      <c r="L692" s="12" t="s">
        <v>37</v>
      </c>
      <c r="M692" s="12" t="s">
        <v>37</v>
      </c>
      <c r="N692" s="41" t="s">
        <v>37</v>
      </c>
      <c r="O692" s="14"/>
      <c r="P692" s="20"/>
      <c r="Q692" s="20"/>
      <c r="R692" s="20"/>
      <c r="S692" s="20"/>
      <c r="T692" s="12" t="s">
        <v>37</v>
      </c>
      <c r="U692" s="12" t="s">
        <v>37</v>
      </c>
    </row>
    <row r="693" spans="1:21" s="1" customFormat="1" ht="26.4" x14ac:dyDescent="0.3">
      <c r="A693" s="11" t="s">
        <v>251</v>
      </c>
      <c r="B693" s="11" t="s">
        <v>249</v>
      </c>
      <c r="C693" s="11" t="s">
        <v>70</v>
      </c>
      <c r="D693" s="11" t="s">
        <v>49</v>
      </c>
      <c r="E693" s="12">
        <v>1</v>
      </c>
      <c r="F693" s="11" t="s">
        <v>37</v>
      </c>
      <c r="G693" s="11" t="s">
        <v>23</v>
      </c>
      <c r="H693" s="11" t="s">
        <v>24</v>
      </c>
      <c r="I693" s="11" t="s">
        <v>25</v>
      </c>
      <c r="J693" s="11" t="s">
        <v>26</v>
      </c>
      <c r="K693" s="11" t="s">
        <v>37</v>
      </c>
      <c r="L693" s="93">
        <v>46102</v>
      </c>
      <c r="M693" s="11" t="s">
        <v>37</v>
      </c>
      <c r="N693" s="34">
        <v>0</v>
      </c>
      <c r="O693" s="55">
        <f t="shared" ref="O693:O724" si="17">N693*E693</f>
        <v>0</v>
      </c>
      <c r="P693" s="11"/>
      <c r="Q693" s="11" t="s">
        <v>37</v>
      </c>
      <c r="R693" s="11" t="s">
        <v>37</v>
      </c>
      <c r="S693" s="11" t="s">
        <v>37</v>
      </c>
      <c r="T693" s="11" t="s">
        <v>37</v>
      </c>
      <c r="U693" s="11" t="s">
        <v>37</v>
      </c>
    </row>
    <row r="694" spans="1:21" s="1" customFormat="1" ht="26.4" x14ac:dyDescent="0.3">
      <c r="A694" s="11" t="s">
        <v>252</v>
      </c>
      <c r="B694" s="11" t="s">
        <v>249</v>
      </c>
      <c r="C694" s="11" t="s">
        <v>70</v>
      </c>
      <c r="D694" s="11" t="s">
        <v>49</v>
      </c>
      <c r="E694" s="12">
        <v>1</v>
      </c>
      <c r="F694" s="11" t="s">
        <v>37</v>
      </c>
      <c r="G694" s="11" t="s">
        <v>23</v>
      </c>
      <c r="H694" s="11" t="s">
        <v>24</v>
      </c>
      <c r="I694" s="11" t="s">
        <v>25</v>
      </c>
      <c r="J694" s="11" t="s">
        <v>26</v>
      </c>
      <c r="K694" s="11" t="s">
        <v>37</v>
      </c>
      <c r="L694" s="93">
        <v>46102</v>
      </c>
      <c r="M694" s="11" t="s">
        <v>37</v>
      </c>
      <c r="N694" s="34">
        <v>0</v>
      </c>
      <c r="O694" s="55">
        <f t="shared" si="17"/>
        <v>0</v>
      </c>
      <c r="P694" s="11"/>
      <c r="Q694" s="11" t="s">
        <v>37</v>
      </c>
      <c r="R694" s="11" t="s">
        <v>37</v>
      </c>
      <c r="S694" s="11" t="s">
        <v>37</v>
      </c>
      <c r="T694" s="11" t="s">
        <v>37</v>
      </c>
      <c r="U694" s="11" t="s">
        <v>37</v>
      </c>
    </row>
    <row r="695" spans="1:21" s="1" customFormat="1" ht="26.4" x14ac:dyDescent="0.3">
      <c r="A695" s="5" t="s">
        <v>255</v>
      </c>
      <c r="B695" s="5" t="s">
        <v>249</v>
      </c>
      <c r="C695" s="5" t="s">
        <v>70</v>
      </c>
      <c r="D695" s="5" t="s">
        <v>49</v>
      </c>
      <c r="E695" s="8">
        <v>1</v>
      </c>
      <c r="F695" s="11" t="s">
        <v>37</v>
      </c>
      <c r="G695" s="5" t="s">
        <v>23</v>
      </c>
      <c r="H695" s="11" t="s">
        <v>24</v>
      </c>
      <c r="I695" s="5" t="s">
        <v>25</v>
      </c>
      <c r="J695" s="5" t="s">
        <v>26</v>
      </c>
      <c r="K695" s="11" t="s">
        <v>37</v>
      </c>
      <c r="L695" s="93">
        <v>46102</v>
      </c>
      <c r="M695" s="11" t="s">
        <v>37</v>
      </c>
      <c r="N695" s="34">
        <v>0</v>
      </c>
      <c r="O695" s="55">
        <f t="shared" si="17"/>
        <v>0</v>
      </c>
      <c r="P695" s="5"/>
      <c r="Q695" s="11" t="s">
        <v>37</v>
      </c>
      <c r="R695" s="11" t="s">
        <v>37</v>
      </c>
      <c r="S695" s="11" t="s">
        <v>37</v>
      </c>
      <c r="T695" s="11" t="s">
        <v>37</v>
      </c>
      <c r="U695" s="5" t="s">
        <v>37</v>
      </c>
    </row>
    <row r="696" spans="1:21" s="1" customFormat="1" ht="26.4" x14ac:dyDescent="0.3">
      <c r="A696" s="11" t="s">
        <v>256</v>
      </c>
      <c r="B696" s="11" t="s">
        <v>249</v>
      </c>
      <c r="C696" s="11" t="s">
        <v>827</v>
      </c>
      <c r="D696" s="11" t="s">
        <v>49</v>
      </c>
      <c r="E696" s="12">
        <v>1</v>
      </c>
      <c r="F696" s="11" t="s">
        <v>970</v>
      </c>
      <c r="G696" s="11" t="s">
        <v>23</v>
      </c>
      <c r="H696" s="11" t="s">
        <v>24</v>
      </c>
      <c r="I696" s="11" t="s">
        <v>25</v>
      </c>
      <c r="J696" s="11" t="s">
        <v>26</v>
      </c>
      <c r="K696" s="50">
        <v>39797</v>
      </c>
      <c r="L696" s="50">
        <v>46085</v>
      </c>
      <c r="M696" s="11" t="s">
        <v>1246</v>
      </c>
      <c r="N696" s="11">
        <v>0</v>
      </c>
      <c r="O696" s="55">
        <f t="shared" si="17"/>
        <v>0</v>
      </c>
      <c r="P696" s="11"/>
      <c r="Q696" s="11" t="s">
        <v>37</v>
      </c>
      <c r="R696" s="11" t="s">
        <v>37</v>
      </c>
      <c r="S696" s="11" t="s">
        <v>37</v>
      </c>
      <c r="T696" s="11" t="s">
        <v>37</v>
      </c>
      <c r="U696" s="11" t="s">
        <v>37</v>
      </c>
    </row>
    <row r="697" spans="1:21" s="1" customFormat="1" ht="26.4" x14ac:dyDescent="0.3">
      <c r="A697" s="11" t="s">
        <v>257</v>
      </c>
      <c r="B697" s="11" t="s">
        <v>249</v>
      </c>
      <c r="C697" s="11" t="s">
        <v>70</v>
      </c>
      <c r="D697" s="11" t="s">
        <v>49</v>
      </c>
      <c r="E697" s="12">
        <v>1</v>
      </c>
      <c r="F697" s="11" t="s">
        <v>37</v>
      </c>
      <c r="G697" s="5" t="s">
        <v>23</v>
      </c>
      <c r="H697" s="11" t="s">
        <v>24</v>
      </c>
      <c r="I697" s="5" t="s">
        <v>25</v>
      </c>
      <c r="J697" s="5" t="s">
        <v>26</v>
      </c>
      <c r="K697" s="11" t="s">
        <v>37</v>
      </c>
      <c r="L697" s="93">
        <v>46102</v>
      </c>
      <c r="M697" s="11" t="s">
        <v>37</v>
      </c>
      <c r="N697" s="34">
        <v>0</v>
      </c>
      <c r="O697" s="55">
        <f t="shared" si="17"/>
        <v>0</v>
      </c>
      <c r="P697" s="5"/>
      <c r="Q697" s="11" t="s">
        <v>37</v>
      </c>
      <c r="R697" s="11" t="s">
        <v>37</v>
      </c>
      <c r="S697" s="11" t="s">
        <v>37</v>
      </c>
      <c r="T697" s="11" t="s">
        <v>37</v>
      </c>
      <c r="U697" s="11" t="s">
        <v>37</v>
      </c>
    </row>
    <row r="698" spans="1:21" s="39" customFormat="1" ht="26.4" x14ac:dyDescent="0.3">
      <c r="A698" s="28" t="s">
        <v>825</v>
      </c>
      <c r="B698" s="28" t="s">
        <v>826</v>
      </c>
      <c r="C698" s="28" t="s">
        <v>512</v>
      </c>
      <c r="D698" s="28" t="s">
        <v>833</v>
      </c>
      <c r="E698" s="28">
        <v>1</v>
      </c>
      <c r="F698" s="28" t="s">
        <v>513</v>
      </c>
      <c r="G698" s="28" t="s">
        <v>23</v>
      </c>
      <c r="H698" s="28" t="s">
        <v>408</v>
      </c>
      <c r="I698" s="11" t="s">
        <v>25</v>
      </c>
      <c r="J698" s="11" t="s">
        <v>26</v>
      </c>
      <c r="K698" s="85">
        <v>44968</v>
      </c>
      <c r="L698" s="85">
        <v>46022</v>
      </c>
      <c r="M698" s="28" t="s">
        <v>514</v>
      </c>
      <c r="N698" s="28">
        <f>6450+1161</f>
        <v>7611</v>
      </c>
      <c r="O698" s="55">
        <f t="shared" si="17"/>
        <v>7611</v>
      </c>
      <c r="P698" s="24" t="s">
        <v>50</v>
      </c>
      <c r="Q698" s="79" t="s">
        <v>409</v>
      </c>
      <c r="R698" s="28">
        <v>9930806009</v>
      </c>
      <c r="S698" s="28" t="s">
        <v>515</v>
      </c>
      <c r="T698" s="5" t="s">
        <v>41</v>
      </c>
      <c r="U698" s="11" t="s">
        <v>37</v>
      </c>
    </row>
    <row r="699" spans="1:21" s="39" customFormat="1" ht="26.4" x14ac:dyDescent="0.3">
      <c r="A699" s="28" t="s">
        <v>825</v>
      </c>
      <c r="B699" s="28" t="s">
        <v>826</v>
      </c>
      <c r="C699" s="28" t="s">
        <v>512</v>
      </c>
      <c r="D699" s="28" t="s">
        <v>833</v>
      </c>
      <c r="E699" s="28">
        <v>1</v>
      </c>
      <c r="F699" s="28" t="s">
        <v>513</v>
      </c>
      <c r="G699" s="28" t="s">
        <v>23</v>
      </c>
      <c r="H699" s="28" t="s">
        <v>408</v>
      </c>
      <c r="I699" s="11" t="s">
        <v>25</v>
      </c>
      <c r="J699" s="11" t="s">
        <v>26</v>
      </c>
      <c r="K699" s="85">
        <v>44968</v>
      </c>
      <c r="L699" s="85">
        <v>46022</v>
      </c>
      <c r="M699" s="28" t="s">
        <v>514</v>
      </c>
      <c r="N699" s="28">
        <f>6450+1161</f>
        <v>7611</v>
      </c>
      <c r="O699" s="55">
        <f t="shared" si="17"/>
        <v>7611</v>
      </c>
      <c r="P699" s="24" t="s">
        <v>50</v>
      </c>
      <c r="Q699" s="79" t="s">
        <v>409</v>
      </c>
      <c r="R699" s="28">
        <v>9930806009</v>
      </c>
      <c r="S699" s="28" t="s">
        <v>515</v>
      </c>
      <c r="T699" s="5" t="s">
        <v>41</v>
      </c>
      <c r="U699" s="11" t="s">
        <v>37</v>
      </c>
    </row>
    <row r="700" spans="1:21" s="1" customFormat="1" ht="26.4" x14ac:dyDescent="0.3">
      <c r="A700" s="24" t="s">
        <v>799</v>
      </c>
      <c r="B700" s="24" t="s">
        <v>834</v>
      </c>
      <c r="C700" s="24" t="s">
        <v>37</v>
      </c>
      <c r="D700" s="11" t="s">
        <v>49</v>
      </c>
      <c r="E700" s="11">
        <v>1</v>
      </c>
      <c r="F700" s="24" t="s">
        <v>800</v>
      </c>
      <c r="G700" s="11" t="s">
        <v>23</v>
      </c>
      <c r="H700" s="11" t="s">
        <v>24</v>
      </c>
      <c r="I700" s="11" t="s">
        <v>25</v>
      </c>
      <c r="J700" s="11" t="s">
        <v>26</v>
      </c>
      <c r="K700" s="24" t="s">
        <v>37</v>
      </c>
      <c r="L700" s="93">
        <v>46102</v>
      </c>
      <c r="M700" s="24" t="s">
        <v>37</v>
      </c>
      <c r="N700" s="24">
        <v>0</v>
      </c>
      <c r="O700" s="55">
        <f t="shared" si="17"/>
        <v>0</v>
      </c>
      <c r="P700" s="24" t="s">
        <v>50</v>
      </c>
      <c r="Q700" s="24" t="s">
        <v>37</v>
      </c>
      <c r="R700" s="24" t="s">
        <v>37</v>
      </c>
      <c r="S700" s="24" t="s">
        <v>37</v>
      </c>
      <c r="T700" s="28" t="s">
        <v>37</v>
      </c>
      <c r="U700" s="43" t="s">
        <v>812</v>
      </c>
    </row>
    <row r="701" spans="1:21" s="1" customFormat="1" ht="26.4" x14ac:dyDescent="0.3">
      <c r="A701" s="24" t="s">
        <v>799</v>
      </c>
      <c r="B701" s="24" t="s">
        <v>834</v>
      </c>
      <c r="C701" s="24" t="s">
        <v>37</v>
      </c>
      <c r="D701" s="11" t="s">
        <v>49</v>
      </c>
      <c r="E701" s="11">
        <v>1</v>
      </c>
      <c r="F701" s="24" t="s">
        <v>800</v>
      </c>
      <c r="G701" s="11" t="s">
        <v>23</v>
      </c>
      <c r="H701" s="11" t="s">
        <v>24</v>
      </c>
      <c r="I701" s="11" t="s">
        <v>25</v>
      </c>
      <c r="J701" s="11" t="s">
        <v>26</v>
      </c>
      <c r="K701" s="24" t="s">
        <v>37</v>
      </c>
      <c r="L701" s="93">
        <v>46102</v>
      </c>
      <c r="M701" s="24" t="s">
        <v>37</v>
      </c>
      <c r="N701" s="24">
        <v>0</v>
      </c>
      <c r="O701" s="55">
        <f t="shared" si="17"/>
        <v>0</v>
      </c>
      <c r="P701" s="24" t="s">
        <v>50</v>
      </c>
      <c r="Q701" s="24" t="s">
        <v>37</v>
      </c>
      <c r="R701" s="24" t="s">
        <v>37</v>
      </c>
      <c r="S701" s="24" t="s">
        <v>37</v>
      </c>
      <c r="T701" s="28" t="s">
        <v>37</v>
      </c>
      <c r="U701" s="43" t="s">
        <v>813</v>
      </c>
    </row>
    <row r="702" spans="1:21" s="1" customFormat="1" ht="26.4" x14ac:dyDescent="0.3">
      <c r="A702" s="24" t="s">
        <v>799</v>
      </c>
      <c r="B702" s="24" t="s">
        <v>834</v>
      </c>
      <c r="C702" s="24" t="s">
        <v>37</v>
      </c>
      <c r="D702" s="11" t="s">
        <v>49</v>
      </c>
      <c r="E702" s="11">
        <v>1</v>
      </c>
      <c r="F702" s="24" t="s">
        <v>800</v>
      </c>
      <c r="G702" s="11" t="s">
        <v>23</v>
      </c>
      <c r="H702" s="11" t="s">
        <v>24</v>
      </c>
      <c r="I702" s="11" t="s">
        <v>25</v>
      </c>
      <c r="J702" s="11" t="s">
        <v>26</v>
      </c>
      <c r="K702" s="24" t="s">
        <v>37</v>
      </c>
      <c r="L702" s="93">
        <v>46102</v>
      </c>
      <c r="M702" s="24" t="s">
        <v>37</v>
      </c>
      <c r="N702" s="24">
        <v>0</v>
      </c>
      <c r="O702" s="55">
        <f t="shared" si="17"/>
        <v>0</v>
      </c>
      <c r="P702" s="24" t="s">
        <v>50</v>
      </c>
      <c r="Q702" s="24" t="s">
        <v>37</v>
      </c>
      <c r="R702" s="24" t="s">
        <v>37</v>
      </c>
      <c r="S702" s="24" t="s">
        <v>37</v>
      </c>
      <c r="T702" s="28" t="s">
        <v>37</v>
      </c>
      <c r="U702" s="43" t="s">
        <v>814</v>
      </c>
    </row>
    <row r="703" spans="1:21" s="1" customFormat="1" ht="26.4" x14ac:dyDescent="0.3">
      <c r="A703" s="24" t="s">
        <v>799</v>
      </c>
      <c r="B703" s="24" t="s">
        <v>834</v>
      </c>
      <c r="C703" s="24" t="s">
        <v>37</v>
      </c>
      <c r="D703" s="11" t="s">
        <v>49</v>
      </c>
      <c r="E703" s="11">
        <v>1</v>
      </c>
      <c r="F703" s="24" t="s">
        <v>800</v>
      </c>
      <c r="G703" s="11" t="s">
        <v>23</v>
      </c>
      <c r="H703" s="11" t="s">
        <v>24</v>
      </c>
      <c r="I703" s="11" t="s">
        <v>25</v>
      </c>
      <c r="J703" s="11" t="s">
        <v>26</v>
      </c>
      <c r="K703" s="24" t="s">
        <v>37</v>
      </c>
      <c r="L703" s="93">
        <v>46102</v>
      </c>
      <c r="M703" s="24" t="s">
        <v>37</v>
      </c>
      <c r="N703" s="24">
        <v>0</v>
      </c>
      <c r="O703" s="55">
        <f t="shared" si="17"/>
        <v>0</v>
      </c>
      <c r="P703" s="24" t="s">
        <v>50</v>
      </c>
      <c r="Q703" s="24" t="s">
        <v>37</v>
      </c>
      <c r="R703" s="24" t="s">
        <v>37</v>
      </c>
      <c r="S703" s="24" t="s">
        <v>37</v>
      </c>
      <c r="T703" s="28" t="s">
        <v>37</v>
      </c>
      <c r="U703" s="43" t="s">
        <v>815</v>
      </c>
    </row>
    <row r="704" spans="1:21" s="1" customFormat="1" ht="26.4" x14ac:dyDescent="0.3">
      <c r="A704" s="24" t="s">
        <v>799</v>
      </c>
      <c r="B704" s="24" t="s">
        <v>834</v>
      </c>
      <c r="C704" s="24" t="s">
        <v>37</v>
      </c>
      <c r="D704" s="11" t="s">
        <v>49</v>
      </c>
      <c r="E704" s="11">
        <v>1</v>
      </c>
      <c r="F704" s="24" t="s">
        <v>800</v>
      </c>
      <c r="G704" s="11" t="s">
        <v>23</v>
      </c>
      <c r="H704" s="11" t="s">
        <v>24</v>
      </c>
      <c r="I704" s="11" t="s">
        <v>25</v>
      </c>
      <c r="J704" s="11" t="s">
        <v>26</v>
      </c>
      <c r="K704" s="24" t="s">
        <v>37</v>
      </c>
      <c r="L704" s="93">
        <v>46102</v>
      </c>
      <c r="M704" s="24" t="s">
        <v>37</v>
      </c>
      <c r="N704" s="24">
        <v>0</v>
      </c>
      <c r="O704" s="55">
        <f t="shared" si="17"/>
        <v>0</v>
      </c>
      <c r="P704" s="24" t="s">
        <v>50</v>
      </c>
      <c r="Q704" s="24" t="s">
        <v>37</v>
      </c>
      <c r="R704" s="24" t="s">
        <v>37</v>
      </c>
      <c r="S704" s="24" t="s">
        <v>37</v>
      </c>
      <c r="T704" s="28" t="s">
        <v>37</v>
      </c>
      <c r="U704" s="43" t="s">
        <v>835</v>
      </c>
    </row>
    <row r="705" spans="1:21" s="1" customFormat="1" ht="26.4" x14ac:dyDescent="0.3">
      <c r="A705" s="24" t="s">
        <v>799</v>
      </c>
      <c r="B705" s="24" t="s">
        <v>834</v>
      </c>
      <c r="C705" s="24" t="s">
        <v>37</v>
      </c>
      <c r="D705" s="11" t="s">
        <v>49</v>
      </c>
      <c r="E705" s="11">
        <v>1</v>
      </c>
      <c r="F705" s="24" t="s">
        <v>800</v>
      </c>
      <c r="G705" s="11" t="s">
        <v>23</v>
      </c>
      <c r="H705" s="11" t="s">
        <v>24</v>
      </c>
      <c r="I705" s="11" t="s">
        <v>25</v>
      </c>
      <c r="J705" s="11" t="s">
        <v>26</v>
      </c>
      <c r="K705" s="24" t="s">
        <v>37</v>
      </c>
      <c r="L705" s="93">
        <v>46102</v>
      </c>
      <c r="M705" s="24" t="s">
        <v>37</v>
      </c>
      <c r="N705" s="24">
        <v>0</v>
      </c>
      <c r="O705" s="55">
        <f t="shared" si="17"/>
        <v>0</v>
      </c>
      <c r="P705" s="24" t="s">
        <v>50</v>
      </c>
      <c r="Q705" s="24" t="s">
        <v>37</v>
      </c>
      <c r="R705" s="24" t="s">
        <v>37</v>
      </c>
      <c r="S705" s="24" t="s">
        <v>37</v>
      </c>
      <c r="T705" s="28" t="s">
        <v>37</v>
      </c>
      <c r="U705" s="43" t="s">
        <v>836</v>
      </c>
    </row>
    <row r="706" spans="1:21" s="1" customFormat="1" ht="26.4" x14ac:dyDescent="0.3">
      <c r="A706" s="24" t="s">
        <v>799</v>
      </c>
      <c r="B706" s="24" t="s">
        <v>1200</v>
      </c>
      <c r="C706" s="24" t="s">
        <v>37</v>
      </c>
      <c r="D706" s="11" t="s">
        <v>49</v>
      </c>
      <c r="E706" s="11">
        <v>1</v>
      </c>
      <c r="F706" s="24" t="s">
        <v>800</v>
      </c>
      <c r="G706" s="11" t="s">
        <v>23</v>
      </c>
      <c r="H706" s="11" t="s">
        <v>408</v>
      </c>
      <c r="I706" s="11" t="s">
        <v>25</v>
      </c>
      <c r="J706" s="11" t="s">
        <v>26</v>
      </c>
      <c r="K706" s="57">
        <v>43833</v>
      </c>
      <c r="L706" s="57">
        <v>46069</v>
      </c>
      <c r="M706" s="25" t="s">
        <v>980</v>
      </c>
      <c r="N706" s="58">
        <v>3950</v>
      </c>
      <c r="O706" s="55">
        <f t="shared" si="17"/>
        <v>3950</v>
      </c>
      <c r="P706" s="24" t="s">
        <v>73</v>
      </c>
      <c r="Q706" s="79" t="s">
        <v>801</v>
      </c>
      <c r="R706" s="24">
        <v>9768944030</v>
      </c>
      <c r="S706" s="28" t="s">
        <v>802</v>
      </c>
      <c r="T706" s="28" t="s">
        <v>1144</v>
      </c>
      <c r="U706" s="43" t="s">
        <v>804</v>
      </c>
    </row>
    <row r="707" spans="1:21" s="1" customFormat="1" ht="26.4" x14ac:dyDescent="0.3">
      <c r="A707" s="24" t="s">
        <v>799</v>
      </c>
      <c r="B707" s="24" t="s">
        <v>1200</v>
      </c>
      <c r="C707" s="24" t="s">
        <v>37</v>
      </c>
      <c r="D707" s="11" t="s">
        <v>49</v>
      </c>
      <c r="E707" s="11">
        <v>1</v>
      </c>
      <c r="F707" s="24" t="s">
        <v>800</v>
      </c>
      <c r="G707" s="11" t="s">
        <v>23</v>
      </c>
      <c r="H707" s="11" t="s">
        <v>408</v>
      </c>
      <c r="I707" s="11" t="s">
        <v>25</v>
      </c>
      <c r="J707" s="11" t="s">
        <v>26</v>
      </c>
      <c r="K707" s="57">
        <v>43833</v>
      </c>
      <c r="L707" s="57">
        <v>46069</v>
      </c>
      <c r="M707" s="25" t="s">
        <v>980</v>
      </c>
      <c r="N707" s="58">
        <v>3950</v>
      </c>
      <c r="O707" s="55">
        <f t="shared" si="17"/>
        <v>3950</v>
      </c>
      <c r="P707" s="24" t="s">
        <v>73</v>
      </c>
      <c r="Q707" s="79" t="s">
        <v>801</v>
      </c>
      <c r="R707" s="24">
        <v>9768944030</v>
      </c>
      <c r="S707" s="28" t="s">
        <v>802</v>
      </c>
      <c r="T707" s="28" t="s">
        <v>1144</v>
      </c>
      <c r="U707" s="43" t="s">
        <v>805</v>
      </c>
    </row>
    <row r="708" spans="1:21" s="1" customFormat="1" ht="26.4" x14ac:dyDescent="0.3">
      <c r="A708" s="24" t="s">
        <v>799</v>
      </c>
      <c r="B708" s="24" t="s">
        <v>1200</v>
      </c>
      <c r="C708" s="24" t="s">
        <v>37</v>
      </c>
      <c r="D708" s="11" t="s">
        <v>49</v>
      </c>
      <c r="E708" s="11">
        <v>1</v>
      </c>
      <c r="F708" s="24" t="s">
        <v>800</v>
      </c>
      <c r="G708" s="11" t="s">
        <v>23</v>
      </c>
      <c r="H708" s="11" t="s">
        <v>408</v>
      </c>
      <c r="I708" s="11" t="s">
        <v>25</v>
      </c>
      <c r="J708" s="11" t="s">
        <v>26</v>
      </c>
      <c r="K708" s="57">
        <v>43833</v>
      </c>
      <c r="L708" s="57">
        <v>46069</v>
      </c>
      <c r="M708" s="25" t="s">
        <v>980</v>
      </c>
      <c r="N708" s="58">
        <v>3950</v>
      </c>
      <c r="O708" s="55">
        <f t="shared" si="17"/>
        <v>3950</v>
      </c>
      <c r="P708" s="24" t="s">
        <v>73</v>
      </c>
      <c r="Q708" s="79" t="s">
        <v>801</v>
      </c>
      <c r="R708" s="24">
        <v>9768944030</v>
      </c>
      <c r="S708" s="28" t="s">
        <v>802</v>
      </c>
      <c r="T708" s="28" t="s">
        <v>1144</v>
      </c>
      <c r="U708" s="43" t="s">
        <v>806</v>
      </c>
    </row>
    <row r="709" spans="1:21" s="1" customFormat="1" ht="26.4" x14ac:dyDescent="0.3">
      <c r="A709" s="24" t="s">
        <v>799</v>
      </c>
      <c r="B709" s="24" t="s">
        <v>1200</v>
      </c>
      <c r="C709" s="24" t="s">
        <v>37</v>
      </c>
      <c r="D709" s="11" t="s">
        <v>49</v>
      </c>
      <c r="E709" s="11">
        <v>1</v>
      </c>
      <c r="F709" s="24" t="s">
        <v>800</v>
      </c>
      <c r="G709" s="11" t="s">
        <v>23</v>
      </c>
      <c r="H709" s="11" t="s">
        <v>408</v>
      </c>
      <c r="I709" s="11" t="s">
        <v>25</v>
      </c>
      <c r="J709" s="11" t="s">
        <v>26</v>
      </c>
      <c r="K709" s="57">
        <v>43833</v>
      </c>
      <c r="L709" s="57">
        <v>46069</v>
      </c>
      <c r="M709" s="25" t="s">
        <v>980</v>
      </c>
      <c r="N709" s="58">
        <v>3950</v>
      </c>
      <c r="O709" s="55">
        <f t="shared" si="17"/>
        <v>3950</v>
      </c>
      <c r="P709" s="24" t="s">
        <v>73</v>
      </c>
      <c r="Q709" s="79" t="s">
        <v>801</v>
      </c>
      <c r="R709" s="24">
        <v>9768944030</v>
      </c>
      <c r="S709" s="28" t="s">
        <v>802</v>
      </c>
      <c r="T709" s="28" t="s">
        <v>1144</v>
      </c>
      <c r="U709" s="43" t="s">
        <v>808</v>
      </c>
    </row>
    <row r="710" spans="1:21" s="1" customFormat="1" ht="26.4" x14ac:dyDescent="0.3">
      <c r="A710" s="24" t="s">
        <v>799</v>
      </c>
      <c r="B710" s="24" t="s">
        <v>1200</v>
      </c>
      <c r="C710" s="24" t="s">
        <v>37</v>
      </c>
      <c r="D710" s="11" t="s">
        <v>49</v>
      </c>
      <c r="E710" s="11">
        <v>1</v>
      </c>
      <c r="F710" s="24" t="s">
        <v>800</v>
      </c>
      <c r="G710" s="11" t="s">
        <v>23</v>
      </c>
      <c r="H710" s="11" t="s">
        <v>408</v>
      </c>
      <c r="I710" s="11" t="s">
        <v>25</v>
      </c>
      <c r="J710" s="11" t="s">
        <v>26</v>
      </c>
      <c r="K710" s="57">
        <v>43833</v>
      </c>
      <c r="L710" s="57">
        <v>46069</v>
      </c>
      <c r="M710" s="25" t="s">
        <v>980</v>
      </c>
      <c r="N710" s="58">
        <v>3950</v>
      </c>
      <c r="O710" s="55">
        <f t="shared" si="17"/>
        <v>3950</v>
      </c>
      <c r="P710" s="24" t="s">
        <v>73</v>
      </c>
      <c r="Q710" s="79" t="s">
        <v>801</v>
      </c>
      <c r="R710" s="24">
        <v>9768944030</v>
      </c>
      <c r="S710" s="28" t="s">
        <v>802</v>
      </c>
      <c r="T710" s="28" t="s">
        <v>1144</v>
      </c>
      <c r="U710" s="43" t="s">
        <v>809</v>
      </c>
    </row>
    <row r="711" spans="1:21" s="1" customFormat="1" ht="26.4" x14ac:dyDescent="0.3">
      <c r="A711" s="24" t="s">
        <v>799</v>
      </c>
      <c r="B711" s="24" t="s">
        <v>1200</v>
      </c>
      <c r="C711" s="24" t="s">
        <v>37</v>
      </c>
      <c r="D711" s="11" t="s">
        <v>49</v>
      </c>
      <c r="E711" s="11">
        <v>1</v>
      </c>
      <c r="F711" s="24" t="s">
        <v>800</v>
      </c>
      <c r="G711" s="11" t="s">
        <v>23</v>
      </c>
      <c r="H711" s="11" t="s">
        <v>408</v>
      </c>
      <c r="I711" s="11" t="s">
        <v>25</v>
      </c>
      <c r="J711" s="11" t="s">
        <v>26</v>
      </c>
      <c r="K711" s="57">
        <v>43833</v>
      </c>
      <c r="L711" s="57">
        <v>46069</v>
      </c>
      <c r="M711" s="25" t="s">
        <v>980</v>
      </c>
      <c r="N711" s="58">
        <v>3950</v>
      </c>
      <c r="O711" s="55">
        <f t="shared" si="17"/>
        <v>3950</v>
      </c>
      <c r="P711" s="24" t="s">
        <v>73</v>
      </c>
      <c r="Q711" s="79" t="s">
        <v>801</v>
      </c>
      <c r="R711" s="24">
        <v>9768944030</v>
      </c>
      <c r="S711" s="28" t="s">
        <v>802</v>
      </c>
      <c r="T711" s="28" t="s">
        <v>1144</v>
      </c>
      <c r="U711" s="43" t="s">
        <v>810</v>
      </c>
    </row>
    <row r="712" spans="1:21" s="1" customFormat="1" ht="26.4" x14ac:dyDescent="0.3">
      <c r="A712" s="24" t="s">
        <v>799</v>
      </c>
      <c r="B712" s="24" t="s">
        <v>1200</v>
      </c>
      <c r="C712" s="24" t="s">
        <v>37</v>
      </c>
      <c r="D712" s="11" t="s">
        <v>49</v>
      </c>
      <c r="E712" s="11">
        <v>1</v>
      </c>
      <c r="F712" s="24" t="s">
        <v>800</v>
      </c>
      <c r="G712" s="11" t="s">
        <v>23</v>
      </c>
      <c r="H712" s="11" t="s">
        <v>408</v>
      </c>
      <c r="I712" s="11" t="s">
        <v>25</v>
      </c>
      <c r="J712" s="11" t="s">
        <v>26</v>
      </c>
      <c r="K712" s="57">
        <v>43833</v>
      </c>
      <c r="L712" s="57">
        <v>46069</v>
      </c>
      <c r="M712" s="25" t="s">
        <v>980</v>
      </c>
      <c r="N712" s="58">
        <v>3950</v>
      </c>
      <c r="O712" s="55">
        <f t="shared" si="17"/>
        <v>3950</v>
      </c>
      <c r="P712" s="24" t="s">
        <v>73</v>
      </c>
      <c r="Q712" s="79" t="s">
        <v>801</v>
      </c>
      <c r="R712" s="24">
        <v>9768944030</v>
      </c>
      <c r="S712" s="28" t="s">
        <v>802</v>
      </c>
      <c r="T712" s="28" t="s">
        <v>1144</v>
      </c>
      <c r="U712" s="43" t="s">
        <v>837</v>
      </c>
    </row>
    <row r="713" spans="1:21" s="1" customFormat="1" ht="26.4" x14ac:dyDescent="0.3">
      <c r="A713" s="24" t="s">
        <v>799</v>
      </c>
      <c r="B713" s="24" t="s">
        <v>1200</v>
      </c>
      <c r="C713" s="24" t="s">
        <v>37</v>
      </c>
      <c r="D713" s="11" t="s">
        <v>49</v>
      </c>
      <c r="E713" s="11">
        <v>1</v>
      </c>
      <c r="F713" s="24" t="s">
        <v>800</v>
      </c>
      <c r="G713" s="11" t="s">
        <v>23</v>
      </c>
      <c r="H713" s="11" t="s">
        <v>408</v>
      </c>
      <c r="I713" s="11" t="s">
        <v>25</v>
      </c>
      <c r="J713" s="11" t="s">
        <v>26</v>
      </c>
      <c r="K713" s="57">
        <v>43833</v>
      </c>
      <c r="L713" s="57">
        <v>46069</v>
      </c>
      <c r="M713" s="25" t="s">
        <v>980</v>
      </c>
      <c r="N713" s="58">
        <v>3950</v>
      </c>
      <c r="O713" s="55">
        <f t="shared" si="17"/>
        <v>3950</v>
      </c>
      <c r="P713" s="24" t="s">
        <v>73</v>
      </c>
      <c r="Q713" s="79" t="s">
        <v>801</v>
      </c>
      <c r="R713" s="24">
        <v>9768944030</v>
      </c>
      <c r="S713" s="28" t="s">
        <v>802</v>
      </c>
      <c r="T713" s="28" t="s">
        <v>1144</v>
      </c>
      <c r="U713" s="43" t="s">
        <v>838</v>
      </c>
    </row>
    <row r="714" spans="1:21" s="1" customFormat="1" ht="26.4" x14ac:dyDescent="0.3">
      <c r="A714" s="24" t="s">
        <v>799</v>
      </c>
      <c r="B714" s="24" t="s">
        <v>1200</v>
      </c>
      <c r="C714" s="24" t="s">
        <v>37</v>
      </c>
      <c r="D714" s="11" t="s">
        <v>49</v>
      </c>
      <c r="E714" s="11">
        <v>1</v>
      </c>
      <c r="F714" s="24" t="s">
        <v>800</v>
      </c>
      <c r="G714" s="11" t="s">
        <v>23</v>
      </c>
      <c r="H714" s="11" t="s">
        <v>408</v>
      </c>
      <c r="I714" s="11" t="s">
        <v>25</v>
      </c>
      <c r="J714" s="11" t="s">
        <v>26</v>
      </c>
      <c r="K714" s="57">
        <v>43833</v>
      </c>
      <c r="L714" s="57">
        <v>46069</v>
      </c>
      <c r="M714" s="25" t="s">
        <v>980</v>
      </c>
      <c r="N714" s="58">
        <v>3950</v>
      </c>
      <c r="O714" s="55">
        <f t="shared" si="17"/>
        <v>3950</v>
      </c>
      <c r="P714" s="24" t="s">
        <v>73</v>
      </c>
      <c r="Q714" s="79" t="s">
        <v>801</v>
      </c>
      <c r="R714" s="24">
        <v>9768944030</v>
      </c>
      <c r="S714" s="28" t="s">
        <v>802</v>
      </c>
      <c r="T714" s="28" t="s">
        <v>1144</v>
      </c>
      <c r="U714" s="43" t="s">
        <v>839</v>
      </c>
    </row>
    <row r="715" spans="1:21" s="1" customFormat="1" ht="26.4" x14ac:dyDescent="0.3">
      <c r="A715" s="24" t="s">
        <v>799</v>
      </c>
      <c r="B715" s="24" t="s">
        <v>1200</v>
      </c>
      <c r="C715" s="24" t="s">
        <v>37</v>
      </c>
      <c r="D715" s="11" t="s">
        <v>49</v>
      </c>
      <c r="E715" s="11">
        <v>1</v>
      </c>
      <c r="F715" s="24" t="s">
        <v>800</v>
      </c>
      <c r="G715" s="11" t="s">
        <v>23</v>
      </c>
      <c r="H715" s="11" t="s">
        <v>408</v>
      </c>
      <c r="I715" s="11" t="s">
        <v>25</v>
      </c>
      <c r="J715" s="11" t="s">
        <v>26</v>
      </c>
      <c r="K715" s="57">
        <v>43833</v>
      </c>
      <c r="L715" s="57">
        <v>46069</v>
      </c>
      <c r="M715" s="25" t="s">
        <v>980</v>
      </c>
      <c r="N715" s="58">
        <v>3950</v>
      </c>
      <c r="O715" s="55">
        <f t="shared" si="17"/>
        <v>3950</v>
      </c>
      <c r="P715" s="24" t="s">
        <v>73</v>
      </c>
      <c r="Q715" s="79" t="s">
        <v>801</v>
      </c>
      <c r="R715" s="24">
        <v>9768944030</v>
      </c>
      <c r="S715" s="28" t="s">
        <v>802</v>
      </c>
      <c r="T715" s="28" t="s">
        <v>1144</v>
      </c>
      <c r="U715" s="43" t="s">
        <v>839</v>
      </c>
    </row>
    <row r="716" spans="1:21" s="1" customFormat="1" ht="26.4" x14ac:dyDescent="0.3">
      <c r="A716" s="24" t="s">
        <v>799</v>
      </c>
      <c r="B716" s="24" t="s">
        <v>1200</v>
      </c>
      <c r="C716" s="24" t="s">
        <v>37</v>
      </c>
      <c r="D716" s="11" t="s">
        <v>49</v>
      </c>
      <c r="E716" s="11">
        <v>1</v>
      </c>
      <c r="F716" s="24" t="s">
        <v>800</v>
      </c>
      <c r="G716" s="11" t="s">
        <v>23</v>
      </c>
      <c r="H716" s="11" t="s">
        <v>408</v>
      </c>
      <c r="I716" s="11" t="s">
        <v>25</v>
      </c>
      <c r="J716" s="11" t="s">
        <v>26</v>
      </c>
      <c r="K716" s="57">
        <v>43833</v>
      </c>
      <c r="L716" s="57">
        <v>46069</v>
      </c>
      <c r="M716" s="25" t="s">
        <v>980</v>
      </c>
      <c r="N716" s="58">
        <v>3950</v>
      </c>
      <c r="O716" s="55">
        <f t="shared" si="17"/>
        <v>3950</v>
      </c>
      <c r="P716" s="24" t="s">
        <v>73</v>
      </c>
      <c r="Q716" s="79" t="s">
        <v>801</v>
      </c>
      <c r="R716" s="24">
        <v>9768944030</v>
      </c>
      <c r="S716" s="28" t="s">
        <v>802</v>
      </c>
      <c r="T716" s="28" t="s">
        <v>1144</v>
      </c>
      <c r="U716" s="43" t="s">
        <v>839</v>
      </c>
    </row>
    <row r="717" spans="1:21" s="1" customFormat="1" ht="26.4" x14ac:dyDescent="0.3">
      <c r="A717" s="24" t="s">
        <v>799</v>
      </c>
      <c r="B717" s="24" t="s">
        <v>1200</v>
      </c>
      <c r="C717" s="24" t="s">
        <v>37</v>
      </c>
      <c r="D717" s="5" t="s">
        <v>22</v>
      </c>
      <c r="E717" s="11">
        <v>1</v>
      </c>
      <c r="F717" s="24" t="s">
        <v>800</v>
      </c>
      <c r="G717" s="11" t="s">
        <v>23</v>
      </c>
      <c r="H717" s="11" t="s">
        <v>408</v>
      </c>
      <c r="I717" s="11" t="s">
        <v>25</v>
      </c>
      <c r="J717" s="11" t="s">
        <v>26</v>
      </c>
      <c r="K717" s="57">
        <v>43833</v>
      </c>
      <c r="L717" s="57">
        <v>46069</v>
      </c>
      <c r="M717" s="25" t="s">
        <v>980</v>
      </c>
      <c r="N717" s="58">
        <v>3950</v>
      </c>
      <c r="O717" s="55">
        <f t="shared" si="17"/>
        <v>3950</v>
      </c>
      <c r="P717" s="24" t="s">
        <v>73</v>
      </c>
      <c r="Q717" s="79" t="s">
        <v>801</v>
      </c>
      <c r="R717" s="24">
        <v>9768944030</v>
      </c>
      <c r="S717" s="28" t="s">
        <v>802</v>
      </c>
      <c r="T717" s="28" t="s">
        <v>1144</v>
      </c>
      <c r="U717" s="43" t="s">
        <v>968</v>
      </c>
    </row>
    <row r="718" spans="1:21" s="1" customFormat="1" ht="26.4" x14ac:dyDescent="0.3">
      <c r="A718" s="24" t="s">
        <v>799</v>
      </c>
      <c r="B718" s="24" t="s">
        <v>1200</v>
      </c>
      <c r="C718" s="24" t="s">
        <v>37</v>
      </c>
      <c r="D718" s="11" t="s">
        <v>22</v>
      </c>
      <c r="E718" s="11">
        <v>1</v>
      </c>
      <c r="F718" s="24" t="s">
        <v>800</v>
      </c>
      <c r="G718" s="11" t="s">
        <v>23</v>
      </c>
      <c r="H718" s="11" t="s">
        <v>408</v>
      </c>
      <c r="I718" s="11" t="s">
        <v>25</v>
      </c>
      <c r="J718" s="11" t="s">
        <v>26</v>
      </c>
      <c r="K718" s="57">
        <v>43833</v>
      </c>
      <c r="L718" s="57">
        <v>46069</v>
      </c>
      <c r="M718" s="25" t="s">
        <v>980</v>
      </c>
      <c r="N718" s="58">
        <v>3950</v>
      </c>
      <c r="O718" s="55">
        <f t="shared" si="17"/>
        <v>3950</v>
      </c>
      <c r="P718" s="24" t="s">
        <v>73</v>
      </c>
      <c r="Q718" s="79" t="s">
        <v>801</v>
      </c>
      <c r="R718" s="24">
        <v>9768944030</v>
      </c>
      <c r="S718" s="28" t="s">
        <v>802</v>
      </c>
      <c r="T718" s="28" t="s">
        <v>1144</v>
      </c>
      <c r="U718" s="43" t="s">
        <v>839</v>
      </c>
    </row>
    <row r="719" spans="1:21" s="1" customFormat="1" ht="26.4" x14ac:dyDescent="0.3">
      <c r="A719" s="24" t="s">
        <v>799</v>
      </c>
      <c r="B719" s="24" t="s">
        <v>840</v>
      </c>
      <c r="C719" s="24" t="s">
        <v>37</v>
      </c>
      <c r="D719" s="11" t="s">
        <v>931</v>
      </c>
      <c r="E719" s="11">
        <v>1</v>
      </c>
      <c r="F719" s="24" t="s">
        <v>800</v>
      </c>
      <c r="G719" s="11" t="s">
        <v>23</v>
      </c>
      <c r="H719" s="5" t="s">
        <v>580</v>
      </c>
      <c r="I719" s="11" t="s">
        <v>25</v>
      </c>
      <c r="J719" s="11" t="s">
        <v>26</v>
      </c>
      <c r="K719" s="24" t="s">
        <v>37</v>
      </c>
      <c r="L719" s="93">
        <v>46102</v>
      </c>
      <c r="M719" s="24" t="s">
        <v>37</v>
      </c>
      <c r="N719" s="24">
        <v>0</v>
      </c>
      <c r="O719" s="55">
        <f t="shared" si="17"/>
        <v>0</v>
      </c>
      <c r="P719" s="24" t="s">
        <v>50</v>
      </c>
      <c r="Q719" s="24" t="s">
        <v>37</v>
      </c>
      <c r="R719" s="24" t="s">
        <v>37</v>
      </c>
      <c r="S719" s="24" t="s">
        <v>37</v>
      </c>
      <c r="T719" s="28" t="s">
        <v>37</v>
      </c>
      <c r="U719" s="43" t="s">
        <v>841</v>
      </c>
    </row>
    <row r="720" spans="1:21" s="1" customFormat="1" ht="26.4" x14ac:dyDescent="0.3">
      <c r="A720" s="24" t="s">
        <v>842</v>
      </c>
      <c r="B720" s="24" t="s">
        <v>843</v>
      </c>
      <c r="C720" s="24" t="s">
        <v>37</v>
      </c>
      <c r="D720" s="11" t="s">
        <v>931</v>
      </c>
      <c r="E720" s="12">
        <v>1</v>
      </c>
      <c r="F720" s="11" t="s">
        <v>37</v>
      </c>
      <c r="G720" s="11" t="s">
        <v>23</v>
      </c>
      <c r="H720" s="5" t="s">
        <v>580</v>
      </c>
      <c r="I720" s="11" t="s">
        <v>25</v>
      </c>
      <c r="J720" s="11" t="s">
        <v>26</v>
      </c>
      <c r="K720" s="11" t="s">
        <v>37</v>
      </c>
      <c r="L720" s="93">
        <v>46102</v>
      </c>
      <c r="M720" s="11" t="s">
        <v>37</v>
      </c>
      <c r="N720" s="24">
        <v>0</v>
      </c>
      <c r="O720" s="55">
        <f t="shared" si="17"/>
        <v>0</v>
      </c>
      <c r="P720" s="24"/>
      <c r="Q720" s="11" t="s">
        <v>37</v>
      </c>
      <c r="R720" s="11" t="s">
        <v>37</v>
      </c>
      <c r="S720" s="11" t="s">
        <v>37</v>
      </c>
      <c r="T720" s="11" t="s">
        <v>37</v>
      </c>
      <c r="U720" s="43" t="s">
        <v>844</v>
      </c>
    </row>
    <row r="721" spans="1:21" s="1" customFormat="1" ht="26.4" x14ac:dyDescent="0.3">
      <c r="A721" s="24" t="s">
        <v>842</v>
      </c>
      <c r="B721" s="24" t="s">
        <v>843</v>
      </c>
      <c r="C721" s="24" t="s">
        <v>37</v>
      </c>
      <c r="D721" s="11" t="s">
        <v>931</v>
      </c>
      <c r="E721" s="12">
        <v>1</v>
      </c>
      <c r="F721" s="24"/>
      <c r="G721" s="11" t="s">
        <v>23</v>
      </c>
      <c r="H721" s="5" t="s">
        <v>580</v>
      </c>
      <c r="I721" s="11" t="s">
        <v>25</v>
      </c>
      <c r="J721" s="11" t="s">
        <v>26</v>
      </c>
      <c r="K721" s="11" t="s">
        <v>37</v>
      </c>
      <c r="L721" s="93">
        <v>46102</v>
      </c>
      <c r="M721" s="11" t="s">
        <v>37</v>
      </c>
      <c r="N721" s="24">
        <v>0</v>
      </c>
      <c r="O721" s="55">
        <f t="shared" si="17"/>
        <v>0</v>
      </c>
      <c r="P721" s="24"/>
      <c r="Q721" s="11" t="s">
        <v>37</v>
      </c>
      <c r="R721" s="11" t="s">
        <v>37</v>
      </c>
      <c r="S721" s="11" t="s">
        <v>37</v>
      </c>
      <c r="T721" s="11" t="s">
        <v>37</v>
      </c>
      <c r="U721" s="43" t="s">
        <v>845</v>
      </c>
    </row>
    <row r="722" spans="1:21" s="1" customFormat="1" ht="14.4" x14ac:dyDescent="0.3">
      <c r="A722" s="24" t="s">
        <v>518</v>
      </c>
      <c r="B722" s="24" t="s">
        <v>846</v>
      </c>
      <c r="C722" s="11" t="s">
        <v>433</v>
      </c>
      <c r="D722" s="11" t="s">
        <v>1335</v>
      </c>
      <c r="E722" s="11">
        <v>1</v>
      </c>
      <c r="F722" s="5" t="s">
        <v>1257</v>
      </c>
      <c r="G722" s="11" t="s">
        <v>23</v>
      </c>
      <c r="H722" s="5" t="s">
        <v>311</v>
      </c>
      <c r="I722" s="11" t="s">
        <v>25</v>
      </c>
      <c r="J722" s="11" t="s">
        <v>26</v>
      </c>
      <c r="K722" s="50">
        <v>45121</v>
      </c>
      <c r="L722" s="50">
        <v>46085</v>
      </c>
      <c r="M722" s="11" t="s">
        <v>1258</v>
      </c>
      <c r="N722" s="11">
        <v>4001</v>
      </c>
      <c r="O722" s="55">
        <f t="shared" si="17"/>
        <v>4001</v>
      </c>
      <c r="P722" s="11" t="s">
        <v>73</v>
      </c>
      <c r="Q722" s="43" t="s">
        <v>1259</v>
      </c>
      <c r="R722" s="5">
        <v>9820023829</v>
      </c>
      <c r="S722" s="5" t="s">
        <v>1260</v>
      </c>
      <c r="T722" s="11" t="s">
        <v>41</v>
      </c>
      <c r="U722" s="43" t="s">
        <v>518</v>
      </c>
    </row>
    <row r="723" spans="1:21" s="1" customFormat="1" ht="39.6" x14ac:dyDescent="0.3">
      <c r="A723" s="24" t="s">
        <v>1252</v>
      </c>
      <c r="B723" s="24" t="s">
        <v>1249</v>
      </c>
      <c r="C723" s="11" t="s">
        <v>37</v>
      </c>
      <c r="D723" s="11" t="s">
        <v>931</v>
      </c>
      <c r="E723" s="11">
        <v>2</v>
      </c>
      <c r="F723" s="31" t="s">
        <v>999</v>
      </c>
      <c r="G723" s="11" t="s">
        <v>23</v>
      </c>
      <c r="H723" s="11" t="s">
        <v>580</v>
      </c>
      <c r="I723" s="11" t="s">
        <v>25</v>
      </c>
      <c r="J723" s="11" t="s">
        <v>26</v>
      </c>
      <c r="K723" s="93">
        <v>45382</v>
      </c>
      <c r="L723" s="93">
        <v>46085</v>
      </c>
      <c r="M723" s="24" t="s">
        <v>1000</v>
      </c>
      <c r="N723" s="24">
        <v>100440.9</v>
      </c>
      <c r="O723" s="55">
        <f t="shared" si="17"/>
        <v>200881.8</v>
      </c>
      <c r="P723" s="25" t="s">
        <v>50</v>
      </c>
      <c r="Q723" s="43" t="s">
        <v>1013</v>
      </c>
      <c r="R723" s="5">
        <v>225316608</v>
      </c>
      <c r="S723" s="5" t="s">
        <v>1014</v>
      </c>
      <c r="T723" s="24" t="s">
        <v>32</v>
      </c>
      <c r="U723" s="43"/>
    </row>
    <row r="724" spans="1:21" s="1" customFormat="1" ht="26.4" x14ac:dyDescent="0.3">
      <c r="A724" s="24" t="s">
        <v>1251</v>
      </c>
      <c r="B724" s="24" t="s">
        <v>1250</v>
      </c>
      <c r="C724" s="11" t="s">
        <v>37</v>
      </c>
      <c r="D724" s="11" t="s">
        <v>931</v>
      </c>
      <c r="E724" s="12">
        <v>2</v>
      </c>
      <c r="F724" s="31" t="s">
        <v>999</v>
      </c>
      <c r="G724" s="11" t="s">
        <v>23</v>
      </c>
      <c r="H724" s="11" t="s">
        <v>580</v>
      </c>
      <c r="I724" s="11" t="s">
        <v>25</v>
      </c>
      <c r="J724" s="11" t="s">
        <v>26</v>
      </c>
      <c r="K724" s="93">
        <v>45382</v>
      </c>
      <c r="L724" s="93">
        <v>46085</v>
      </c>
      <c r="M724" s="24" t="s">
        <v>1000</v>
      </c>
      <c r="N724" s="24">
        <v>50647</v>
      </c>
      <c r="O724" s="55">
        <f t="shared" si="17"/>
        <v>101294</v>
      </c>
      <c r="P724" s="24"/>
      <c r="Q724" s="24"/>
      <c r="R724" s="24"/>
      <c r="S724" s="24"/>
      <c r="T724" s="24"/>
      <c r="U724" s="43"/>
    </row>
    <row r="725" spans="1:21" s="1" customFormat="1" ht="14.4" x14ac:dyDescent="0.3">
      <c r="A725" s="24" t="s">
        <v>617</v>
      </c>
      <c r="B725" s="24" t="s">
        <v>847</v>
      </c>
      <c r="C725" s="24" t="s">
        <v>37</v>
      </c>
      <c r="D725" s="11" t="s">
        <v>931</v>
      </c>
      <c r="E725" s="12">
        <v>1</v>
      </c>
      <c r="F725" s="24" t="s">
        <v>37</v>
      </c>
      <c r="G725" s="11" t="s">
        <v>23</v>
      </c>
      <c r="H725" s="11" t="s">
        <v>24</v>
      </c>
      <c r="I725" s="11" t="s">
        <v>25</v>
      </c>
      <c r="J725" s="11" t="s">
        <v>26</v>
      </c>
      <c r="K725" s="57">
        <v>43847</v>
      </c>
      <c r="L725" s="50">
        <v>46065</v>
      </c>
      <c r="M725" s="24" t="s">
        <v>37</v>
      </c>
      <c r="N725" s="55">
        <v>641971</v>
      </c>
      <c r="O725" s="55">
        <f t="shared" ref="O725:O756" si="18">N725*E725</f>
        <v>641971</v>
      </c>
      <c r="P725" s="24"/>
      <c r="Q725" s="31" t="s">
        <v>37</v>
      </c>
      <c r="R725" s="31" t="s">
        <v>37</v>
      </c>
      <c r="S725" s="31" t="s">
        <v>37</v>
      </c>
      <c r="T725" s="28" t="s">
        <v>37</v>
      </c>
      <c r="U725" s="43" t="s">
        <v>848</v>
      </c>
    </row>
    <row r="726" spans="1:21" s="1" customFormat="1" ht="14.4" x14ac:dyDescent="0.3">
      <c r="A726" s="5" t="s">
        <v>1203</v>
      </c>
      <c r="B726" s="5" t="s">
        <v>849</v>
      </c>
      <c r="C726" s="11" t="s">
        <v>37</v>
      </c>
      <c r="D726" s="11" t="s">
        <v>1222</v>
      </c>
      <c r="E726" s="5">
        <v>1</v>
      </c>
      <c r="F726" s="5" t="s">
        <v>588</v>
      </c>
      <c r="G726" s="11" t="s">
        <v>23</v>
      </c>
      <c r="H726" s="11" t="s">
        <v>24</v>
      </c>
      <c r="I726" s="24" t="s">
        <v>25</v>
      </c>
      <c r="J726" s="11" t="s">
        <v>26</v>
      </c>
      <c r="K726" s="59">
        <v>44055</v>
      </c>
      <c r="L726" s="93">
        <v>46041</v>
      </c>
      <c r="M726" s="5">
        <v>2602</v>
      </c>
      <c r="N726" s="32">
        <v>3050</v>
      </c>
      <c r="O726" s="55">
        <f t="shared" si="18"/>
        <v>3050</v>
      </c>
      <c r="P726" s="24" t="s">
        <v>73</v>
      </c>
      <c r="Q726" s="26" t="s">
        <v>585</v>
      </c>
      <c r="R726" s="26" t="s">
        <v>586</v>
      </c>
      <c r="S726" s="26" t="s">
        <v>37</v>
      </c>
      <c r="T726" s="24" t="s">
        <v>37</v>
      </c>
      <c r="U726" s="25"/>
    </row>
    <row r="727" spans="1:21" s="1" customFormat="1" ht="14.4" x14ac:dyDescent="0.3">
      <c r="A727" s="5" t="s">
        <v>1203</v>
      </c>
      <c r="B727" s="5" t="s">
        <v>849</v>
      </c>
      <c r="C727" s="11" t="s">
        <v>37</v>
      </c>
      <c r="D727" s="11" t="s">
        <v>1222</v>
      </c>
      <c r="E727" s="5">
        <v>1</v>
      </c>
      <c r="F727" s="5" t="s">
        <v>588</v>
      </c>
      <c r="G727" s="11" t="s">
        <v>23</v>
      </c>
      <c r="H727" s="11" t="s">
        <v>24</v>
      </c>
      <c r="I727" s="24" t="s">
        <v>25</v>
      </c>
      <c r="J727" s="11" t="s">
        <v>26</v>
      </c>
      <c r="K727" s="59">
        <v>44055</v>
      </c>
      <c r="L727" s="93">
        <v>46041</v>
      </c>
      <c r="M727" s="5">
        <v>2602</v>
      </c>
      <c r="N727" s="32">
        <v>3050</v>
      </c>
      <c r="O727" s="55">
        <f t="shared" si="18"/>
        <v>3050</v>
      </c>
      <c r="P727" s="24" t="s">
        <v>73</v>
      </c>
      <c r="Q727" s="26" t="s">
        <v>585</v>
      </c>
      <c r="R727" s="26" t="s">
        <v>586</v>
      </c>
      <c r="S727" s="26" t="s">
        <v>37</v>
      </c>
      <c r="T727" s="24" t="s">
        <v>37</v>
      </c>
      <c r="U727" s="25"/>
    </row>
    <row r="728" spans="1:21" s="1" customFormat="1" ht="14.4" x14ac:dyDescent="0.3">
      <c r="A728" s="5" t="s">
        <v>1203</v>
      </c>
      <c r="B728" s="5" t="s">
        <v>849</v>
      </c>
      <c r="C728" s="11" t="s">
        <v>37</v>
      </c>
      <c r="D728" s="11" t="s">
        <v>1222</v>
      </c>
      <c r="E728" s="5">
        <v>1</v>
      </c>
      <c r="F728" s="5" t="s">
        <v>588</v>
      </c>
      <c r="G728" s="11" t="s">
        <v>23</v>
      </c>
      <c r="H728" s="11" t="s">
        <v>24</v>
      </c>
      <c r="I728" s="24" t="s">
        <v>25</v>
      </c>
      <c r="J728" s="11" t="s">
        <v>26</v>
      </c>
      <c r="K728" s="59">
        <v>44055</v>
      </c>
      <c r="L728" s="93">
        <v>46041</v>
      </c>
      <c r="M728" s="5">
        <v>2602</v>
      </c>
      <c r="N728" s="32">
        <v>3050</v>
      </c>
      <c r="O728" s="55">
        <f t="shared" si="18"/>
        <v>3050</v>
      </c>
      <c r="P728" s="24" t="s">
        <v>73</v>
      </c>
      <c r="Q728" s="26" t="s">
        <v>585</v>
      </c>
      <c r="R728" s="26" t="s">
        <v>586</v>
      </c>
      <c r="S728" s="26" t="s">
        <v>37</v>
      </c>
      <c r="T728" s="24" t="s">
        <v>37</v>
      </c>
      <c r="U728" s="25"/>
    </row>
    <row r="729" spans="1:21" s="1" customFormat="1" ht="14.4" x14ac:dyDescent="0.3">
      <c r="A729" s="5" t="s">
        <v>1203</v>
      </c>
      <c r="B729" s="5" t="s">
        <v>849</v>
      </c>
      <c r="C729" s="11" t="s">
        <v>37</v>
      </c>
      <c r="D729" s="11" t="s">
        <v>1222</v>
      </c>
      <c r="E729" s="5">
        <v>1</v>
      </c>
      <c r="F729" s="5" t="s">
        <v>588</v>
      </c>
      <c r="G729" s="11" t="s">
        <v>23</v>
      </c>
      <c r="H729" s="11" t="s">
        <v>24</v>
      </c>
      <c r="I729" s="24" t="s">
        <v>25</v>
      </c>
      <c r="J729" s="11" t="s">
        <v>26</v>
      </c>
      <c r="K729" s="59">
        <v>44055</v>
      </c>
      <c r="L729" s="93">
        <v>46041</v>
      </c>
      <c r="M729" s="5">
        <v>2602</v>
      </c>
      <c r="N729" s="32">
        <v>3050</v>
      </c>
      <c r="O729" s="55">
        <f t="shared" si="18"/>
        <v>3050</v>
      </c>
      <c r="P729" s="24" t="s">
        <v>73</v>
      </c>
      <c r="Q729" s="26" t="s">
        <v>585</v>
      </c>
      <c r="R729" s="26" t="s">
        <v>586</v>
      </c>
      <c r="S729" s="26" t="s">
        <v>37</v>
      </c>
      <c r="T729" s="24" t="s">
        <v>37</v>
      </c>
      <c r="U729" s="25"/>
    </row>
    <row r="730" spans="1:21" s="1" customFormat="1" ht="26.4" x14ac:dyDescent="0.3">
      <c r="A730" s="5" t="s">
        <v>996</v>
      </c>
      <c r="B730" s="5" t="s">
        <v>995</v>
      </c>
      <c r="C730" s="25" t="s">
        <v>582</v>
      </c>
      <c r="D730" s="5" t="s">
        <v>22</v>
      </c>
      <c r="E730" s="11">
        <v>1</v>
      </c>
      <c r="F730" s="11" t="s">
        <v>1105</v>
      </c>
      <c r="G730" s="11" t="s">
        <v>23</v>
      </c>
      <c r="H730" s="11" t="s">
        <v>24</v>
      </c>
      <c r="I730" s="11" t="s">
        <v>25</v>
      </c>
      <c r="J730" s="11" t="s">
        <v>26</v>
      </c>
      <c r="K730" s="59">
        <v>43853</v>
      </c>
      <c r="L730" s="57">
        <v>46041</v>
      </c>
      <c r="M730" s="5" t="s">
        <v>851</v>
      </c>
      <c r="N730" s="25">
        <v>5347</v>
      </c>
      <c r="O730" s="55">
        <f t="shared" si="18"/>
        <v>5347</v>
      </c>
      <c r="P730" s="25" t="s">
        <v>73</v>
      </c>
      <c r="Q730" s="43" t="s">
        <v>393</v>
      </c>
      <c r="R730" s="5">
        <v>9867772203</v>
      </c>
      <c r="S730" s="5" t="s">
        <v>394</v>
      </c>
      <c r="T730" s="25" t="s">
        <v>58</v>
      </c>
      <c r="U730" s="43" t="s">
        <v>850</v>
      </c>
    </row>
    <row r="731" spans="1:21" s="1" customFormat="1" ht="26.4" x14ac:dyDescent="0.3">
      <c r="A731" s="5" t="s">
        <v>996</v>
      </c>
      <c r="B731" s="5" t="s">
        <v>995</v>
      </c>
      <c r="C731" s="25" t="s">
        <v>582</v>
      </c>
      <c r="D731" s="5" t="s">
        <v>22</v>
      </c>
      <c r="E731" s="11">
        <v>1</v>
      </c>
      <c r="F731" s="11" t="s">
        <v>1105</v>
      </c>
      <c r="G731" s="11" t="s">
        <v>23</v>
      </c>
      <c r="H731" s="11" t="s">
        <v>24</v>
      </c>
      <c r="I731" s="11" t="s">
        <v>25</v>
      </c>
      <c r="J731" s="11" t="s">
        <v>26</v>
      </c>
      <c r="K731" s="59">
        <v>43853</v>
      </c>
      <c r="L731" s="57">
        <v>46041</v>
      </c>
      <c r="M731" s="5" t="s">
        <v>851</v>
      </c>
      <c r="N731" s="25">
        <v>5347</v>
      </c>
      <c r="O731" s="55">
        <f t="shared" si="18"/>
        <v>5347</v>
      </c>
      <c r="P731" s="25" t="s">
        <v>73</v>
      </c>
      <c r="Q731" s="43" t="s">
        <v>393</v>
      </c>
      <c r="R731" s="5">
        <v>9867772203</v>
      </c>
      <c r="S731" s="5" t="s">
        <v>394</v>
      </c>
      <c r="T731" s="25" t="s">
        <v>58</v>
      </c>
      <c r="U731" s="43" t="s">
        <v>850</v>
      </c>
    </row>
    <row r="732" spans="1:21" s="1" customFormat="1" ht="26.4" x14ac:dyDescent="0.3">
      <c r="A732" s="5" t="s">
        <v>996</v>
      </c>
      <c r="B732" s="5" t="s">
        <v>995</v>
      </c>
      <c r="C732" s="25" t="s">
        <v>582</v>
      </c>
      <c r="D732" s="5" t="s">
        <v>22</v>
      </c>
      <c r="E732" s="11">
        <v>1</v>
      </c>
      <c r="F732" s="11" t="s">
        <v>1105</v>
      </c>
      <c r="G732" s="11" t="s">
        <v>23</v>
      </c>
      <c r="H732" s="11" t="s">
        <v>24</v>
      </c>
      <c r="I732" s="11" t="s">
        <v>25</v>
      </c>
      <c r="J732" s="11" t="s">
        <v>26</v>
      </c>
      <c r="K732" s="59">
        <v>43853</v>
      </c>
      <c r="L732" s="57">
        <v>46041</v>
      </c>
      <c r="M732" s="5" t="s">
        <v>851</v>
      </c>
      <c r="N732" s="25">
        <v>5347</v>
      </c>
      <c r="O732" s="55">
        <f t="shared" si="18"/>
        <v>5347</v>
      </c>
      <c r="P732" s="25" t="s">
        <v>73</v>
      </c>
      <c r="Q732" s="43" t="s">
        <v>393</v>
      </c>
      <c r="R732" s="5">
        <v>9867772203</v>
      </c>
      <c r="S732" s="5" t="s">
        <v>394</v>
      </c>
      <c r="T732" s="25" t="s">
        <v>58</v>
      </c>
      <c r="U732" s="43" t="s">
        <v>850</v>
      </c>
    </row>
    <row r="733" spans="1:21" s="1" customFormat="1" ht="26.4" x14ac:dyDescent="0.3">
      <c r="A733" s="5" t="s">
        <v>996</v>
      </c>
      <c r="B733" s="5" t="s">
        <v>995</v>
      </c>
      <c r="C733" s="25" t="s">
        <v>582</v>
      </c>
      <c r="D733" s="5" t="s">
        <v>22</v>
      </c>
      <c r="E733" s="11">
        <v>1</v>
      </c>
      <c r="F733" s="11" t="s">
        <v>1105</v>
      </c>
      <c r="G733" s="11" t="s">
        <v>23</v>
      </c>
      <c r="H733" s="11" t="s">
        <v>24</v>
      </c>
      <c r="I733" s="11" t="s">
        <v>25</v>
      </c>
      <c r="J733" s="11" t="s">
        <v>26</v>
      </c>
      <c r="K733" s="59">
        <v>43853</v>
      </c>
      <c r="L733" s="57">
        <v>46041</v>
      </c>
      <c r="M733" s="5" t="s">
        <v>851</v>
      </c>
      <c r="N733" s="25">
        <v>5347</v>
      </c>
      <c r="O733" s="55">
        <f t="shared" si="18"/>
        <v>5347</v>
      </c>
      <c r="P733" s="25" t="s">
        <v>73</v>
      </c>
      <c r="Q733" s="43" t="s">
        <v>393</v>
      </c>
      <c r="R733" s="5">
        <v>9867772203</v>
      </c>
      <c r="S733" s="5" t="s">
        <v>394</v>
      </c>
      <c r="T733" s="25" t="s">
        <v>58</v>
      </c>
      <c r="U733" s="43" t="s">
        <v>850</v>
      </c>
    </row>
    <row r="734" spans="1:21" s="1" customFormat="1" ht="26.4" x14ac:dyDescent="0.3">
      <c r="A734" s="5" t="s">
        <v>996</v>
      </c>
      <c r="B734" s="5" t="s">
        <v>995</v>
      </c>
      <c r="C734" s="25" t="s">
        <v>582</v>
      </c>
      <c r="D734" s="5" t="s">
        <v>22</v>
      </c>
      <c r="E734" s="11">
        <v>1</v>
      </c>
      <c r="F734" s="11" t="s">
        <v>1105</v>
      </c>
      <c r="G734" s="11" t="s">
        <v>23</v>
      </c>
      <c r="H734" s="11" t="s">
        <v>24</v>
      </c>
      <c r="I734" s="11" t="s">
        <v>25</v>
      </c>
      <c r="J734" s="11" t="s">
        <v>26</v>
      </c>
      <c r="K734" s="59">
        <v>43853</v>
      </c>
      <c r="L734" s="57">
        <v>46041</v>
      </c>
      <c r="M734" s="5" t="s">
        <v>851</v>
      </c>
      <c r="N734" s="25">
        <v>5347</v>
      </c>
      <c r="O734" s="55">
        <f t="shared" si="18"/>
        <v>5347</v>
      </c>
      <c r="P734" s="25" t="s">
        <v>73</v>
      </c>
      <c r="Q734" s="43" t="s">
        <v>393</v>
      </c>
      <c r="R734" s="5">
        <v>9867772203</v>
      </c>
      <c r="S734" s="5" t="s">
        <v>394</v>
      </c>
      <c r="T734" s="25" t="s">
        <v>58</v>
      </c>
      <c r="U734" s="43" t="s">
        <v>850</v>
      </c>
    </row>
    <row r="735" spans="1:21" s="6" customFormat="1" ht="26.4" x14ac:dyDescent="0.3">
      <c r="A735" s="25" t="s">
        <v>852</v>
      </c>
      <c r="B735" s="25" t="s">
        <v>853</v>
      </c>
      <c r="C735" s="17" t="s">
        <v>854</v>
      </c>
      <c r="D735" s="12" t="s">
        <v>1326</v>
      </c>
      <c r="E735" s="17">
        <v>1</v>
      </c>
      <c r="F735" s="5" t="s">
        <v>821</v>
      </c>
      <c r="G735" s="8" t="s">
        <v>23</v>
      </c>
      <c r="H735" s="8" t="s">
        <v>408</v>
      </c>
      <c r="I735" s="17" t="s">
        <v>25</v>
      </c>
      <c r="J735" s="12" t="s">
        <v>72</v>
      </c>
      <c r="K735" s="13">
        <v>45899</v>
      </c>
      <c r="L735" s="13">
        <v>46035</v>
      </c>
      <c r="M735" s="8" t="s">
        <v>871</v>
      </c>
      <c r="N735" s="14">
        <v>1275</v>
      </c>
      <c r="O735" s="14">
        <f t="shared" si="18"/>
        <v>1275</v>
      </c>
      <c r="P735" s="17"/>
      <c r="Q735" s="7" t="s">
        <v>823</v>
      </c>
      <c r="R735" s="8">
        <v>9820797926</v>
      </c>
      <c r="S735" s="8" t="s">
        <v>868</v>
      </c>
      <c r="T735" s="8" t="s">
        <v>941</v>
      </c>
      <c r="U735" s="8" t="s">
        <v>37</v>
      </c>
    </row>
    <row r="736" spans="1:21" s="1" customFormat="1" ht="14.4" x14ac:dyDescent="0.3">
      <c r="A736" s="5" t="s">
        <v>1060</v>
      </c>
      <c r="B736" s="25" t="s">
        <v>855</v>
      </c>
      <c r="C736" s="11" t="s">
        <v>37</v>
      </c>
      <c r="D736" s="11" t="s">
        <v>1222</v>
      </c>
      <c r="E736" s="11">
        <v>1</v>
      </c>
      <c r="F736" s="11" t="s">
        <v>37</v>
      </c>
      <c r="G736" s="11" t="s">
        <v>23</v>
      </c>
      <c r="H736" s="5" t="s">
        <v>426</v>
      </c>
      <c r="I736" s="11" t="s">
        <v>25</v>
      </c>
      <c r="J736" s="24" t="s">
        <v>26</v>
      </c>
      <c r="K736" s="59">
        <v>43676</v>
      </c>
      <c r="L736" s="59">
        <v>43654</v>
      </c>
      <c r="M736" s="5" t="s">
        <v>592</v>
      </c>
      <c r="N736" s="32">
        <v>40800</v>
      </c>
      <c r="O736" s="55">
        <f t="shared" si="18"/>
        <v>40800</v>
      </c>
      <c r="P736" s="11" t="s">
        <v>73</v>
      </c>
      <c r="Q736" s="11" t="s">
        <v>37</v>
      </c>
      <c r="R736" s="11" t="s">
        <v>37</v>
      </c>
      <c r="S736" s="11" t="s">
        <v>37</v>
      </c>
      <c r="T736" s="24" t="s">
        <v>58</v>
      </c>
      <c r="U736" s="25"/>
    </row>
    <row r="737" spans="1:21" s="1" customFormat="1" ht="14.4" x14ac:dyDescent="0.3">
      <c r="A737" s="25" t="s">
        <v>856</v>
      </c>
      <c r="B737" s="25" t="s">
        <v>857</v>
      </c>
      <c r="C737" s="11" t="s">
        <v>37</v>
      </c>
      <c r="D737" s="11" t="s">
        <v>1222</v>
      </c>
      <c r="E737" s="11">
        <v>1</v>
      </c>
      <c r="F737" s="5" t="s">
        <v>588</v>
      </c>
      <c r="G737" s="11" t="s">
        <v>23</v>
      </c>
      <c r="H737" s="11" t="s">
        <v>24</v>
      </c>
      <c r="I737" s="11" t="s">
        <v>25</v>
      </c>
      <c r="J737" s="11" t="s">
        <v>26</v>
      </c>
      <c r="K737" s="59">
        <v>44055</v>
      </c>
      <c r="L737" s="50">
        <v>46045</v>
      </c>
      <c r="M737" s="11" t="s">
        <v>37</v>
      </c>
      <c r="N737" s="58">
        <v>6530</v>
      </c>
      <c r="O737" s="55">
        <f t="shared" si="18"/>
        <v>6530</v>
      </c>
      <c r="P737" s="24" t="s">
        <v>73</v>
      </c>
      <c r="Q737" s="26" t="s">
        <v>585</v>
      </c>
      <c r="R737" s="26" t="s">
        <v>586</v>
      </c>
      <c r="S737" s="26" t="s">
        <v>37</v>
      </c>
      <c r="T737" s="11"/>
      <c r="U737" s="25"/>
    </row>
    <row r="738" spans="1:21" s="1" customFormat="1" ht="14.4" x14ac:dyDescent="0.3">
      <c r="A738" s="11" t="s">
        <v>587</v>
      </c>
      <c r="B738" s="11" t="s">
        <v>587</v>
      </c>
      <c r="C738" s="11" t="s">
        <v>406</v>
      </c>
      <c r="D738" s="11" t="s">
        <v>1222</v>
      </c>
      <c r="E738" s="11">
        <v>1</v>
      </c>
      <c r="F738" s="5" t="s">
        <v>588</v>
      </c>
      <c r="G738" s="11" t="s">
        <v>23</v>
      </c>
      <c r="H738" s="11" t="s">
        <v>408</v>
      </c>
      <c r="I738" s="11" t="s">
        <v>25</v>
      </c>
      <c r="J738" s="11" t="s">
        <v>26</v>
      </c>
      <c r="K738" s="59">
        <v>43186</v>
      </c>
      <c r="L738" s="50">
        <v>46045</v>
      </c>
      <c r="M738" s="5">
        <v>180029</v>
      </c>
      <c r="N738" s="32">
        <v>13500</v>
      </c>
      <c r="O738" s="55">
        <f t="shared" si="18"/>
        <v>13500</v>
      </c>
      <c r="P738" s="11" t="s">
        <v>73</v>
      </c>
      <c r="Q738" s="26" t="s">
        <v>585</v>
      </c>
      <c r="R738" s="26" t="s">
        <v>586</v>
      </c>
      <c r="S738" s="26" t="s">
        <v>37</v>
      </c>
      <c r="T738" s="11" t="s">
        <v>37</v>
      </c>
      <c r="U738" s="73" t="s">
        <v>587</v>
      </c>
    </row>
    <row r="739" spans="1:21" s="1" customFormat="1" ht="14.4" x14ac:dyDescent="0.3">
      <c r="A739" s="11" t="s">
        <v>587</v>
      </c>
      <c r="B739" s="11" t="s">
        <v>587</v>
      </c>
      <c r="C739" s="11" t="s">
        <v>406</v>
      </c>
      <c r="D739" s="11" t="s">
        <v>1222</v>
      </c>
      <c r="E739" s="11">
        <v>1</v>
      </c>
      <c r="F739" s="5" t="s">
        <v>588</v>
      </c>
      <c r="G739" s="11" t="s">
        <v>23</v>
      </c>
      <c r="H739" s="11" t="s">
        <v>408</v>
      </c>
      <c r="I739" s="11" t="s">
        <v>25</v>
      </c>
      <c r="J739" s="11" t="s">
        <v>26</v>
      </c>
      <c r="K739" s="59">
        <v>43186</v>
      </c>
      <c r="L739" s="50">
        <v>46045</v>
      </c>
      <c r="M739" s="5">
        <v>180029</v>
      </c>
      <c r="N739" s="32">
        <v>13500</v>
      </c>
      <c r="O739" s="55">
        <f t="shared" si="18"/>
        <v>13500</v>
      </c>
      <c r="P739" s="11" t="s">
        <v>73</v>
      </c>
      <c r="Q739" s="26" t="s">
        <v>585</v>
      </c>
      <c r="R739" s="26" t="s">
        <v>586</v>
      </c>
      <c r="S739" s="26" t="s">
        <v>37</v>
      </c>
      <c r="T739" s="11" t="s">
        <v>37</v>
      </c>
      <c r="U739" s="73" t="s">
        <v>587</v>
      </c>
    </row>
    <row r="740" spans="1:21" s="1" customFormat="1" ht="14.4" x14ac:dyDescent="0.3">
      <c r="A740" s="25" t="s">
        <v>858</v>
      </c>
      <c r="B740" s="25" t="s">
        <v>859</v>
      </c>
      <c r="C740" s="11" t="s">
        <v>37</v>
      </c>
      <c r="D740" s="11" t="s">
        <v>1222</v>
      </c>
      <c r="E740" s="11">
        <v>1</v>
      </c>
      <c r="F740" s="5" t="s">
        <v>588</v>
      </c>
      <c r="G740" s="11" t="s">
        <v>23</v>
      </c>
      <c r="H740" s="11" t="s">
        <v>408</v>
      </c>
      <c r="I740" s="11" t="s">
        <v>25</v>
      </c>
      <c r="J740" s="11" t="s">
        <v>26</v>
      </c>
      <c r="K740" s="59">
        <v>44055</v>
      </c>
      <c r="L740" s="50">
        <v>46045</v>
      </c>
      <c r="M740" s="5">
        <v>2602</v>
      </c>
      <c r="N740" s="55">
        <v>13150</v>
      </c>
      <c r="O740" s="55">
        <f t="shared" si="18"/>
        <v>13150</v>
      </c>
      <c r="P740" s="11" t="s">
        <v>73</v>
      </c>
      <c r="Q740" s="26" t="s">
        <v>585</v>
      </c>
      <c r="R740" s="26" t="s">
        <v>586</v>
      </c>
      <c r="S740" s="26" t="s">
        <v>37</v>
      </c>
      <c r="T740" s="11" t="s">
        <v>37</v>
      </c>
      <c r="U740" s="73"/>
    </row>
    <row r="741" spans="1:21" s="1" customFormat="1" ht="14.4" x14ac:dyDescent="0.3">
      <c r="A741" s="25" t="s">
        <v>518</v>
      </c>
      <c r="B741" s="25" t="s">
        <v>432</v>
      </c>
      <c r="C741" s="24" t="s">
        <v>860</v>
      </c>
      <c r="D741" s="11" t="s">
        <v>1222</v>
      </c>
      <c r="E741" s="11">
        <v>1</v>
      </c>
      <c r="F741" s="5" t="s">
        <v>1257</v>
      </c>
      <c r="G741" s="11" t="s">
        <v>23</v>
      </c>
      <c r="H741" s="5" t="s">
        <v>311</v>
      </c>
      <c r="I741" s="11" t="s">
        <v>25</v>
      </c>
      <c r="J741" s="11" t="s">
        <v>26</v>
      </c>
      <c r="K741" s="50">
        <v>45121</v>
      </c>
      <c r="L741" s="50">
        <v>46085</v>
      </c>
      <c r="M741" s="11" t="s">
        <v>1258</v>
      </c>
      <c r="N741" s="11">
        <v>4001</v>
      </c>
      <c r="O741" s="55">
        <f t="shared" si="18"/>
        <v>4001</v>
      </c>
      <c r="P741" s="11" t="s">
        <v>73</v>
      </c>
      <c r="Q741" s="43" t="s">
        <v>1259</v>
      </c>
      <c r="R741" s="5">
        <v>9820023829</v>
      </c>
      <c r="S741" s="5" t="s">
        <v>1260</v>
      </c>
      <c r="T741" s="11" t="s">
        <v>41</v>
      </c>
      <c r="U741" s="73"/>
    </row>
    <row r="742" spans="1:21" s="1" customFormat="1" ht="26.4" x14ac:dyDescent="0.3">
      <c r="A742" s="25" t="s">
        <v>1291</v>
      </c>
      <c r="B742" s="25" t="s">
        <v>1290</v>
      </c>
      <c r="C742" s="24" t="s">
        <v>37</v>
      </c>
      <c r="D742" s="11" t="s">
        <v>1222</v>
      </c>
      <c r="E742" s="11">
        <v>1</v>
      </c>
      <c r="F742" s="11" t="s">
        <v>907</v>
      </c>
      <c r="G742" s="11" t="s">
        <v>23</v>
      </c>
      <c r="H742" s="11" t="s">
        <v>24</v>
      </c>
      <c r="I742" s="11" t="s">
        <v>25</v>
      </c>
      <c r="J742" s="11" t="s">
        <v>26</v>
      </c>
      <c r="K742" s="50">
        <v>45288</v>
      </c>
      <c r="L742" s="50">
        <v>46086</v>
      </c>
      <c r="M742" s="11" t="s">
        <v>1276</v>
      </c>
      <c r="N742" s="11">
        <v>286494</v>
      </c>
      <c r="O742" s="55">
        <f t="shared" si="18"/>
        <v>286494</v>
      </c>
      <c r="P742" s="11" t="s">
        <v>50</v>
      </c>
      <c r="Q742" s="45" t="s">
        <v>908</v>
      </c>
      <c r="R742" s="5" t="s">
        <v>909</v>
      </c>
      <c r="S742" s="5" t="s">
        <v>1279</v>
      </c>
      <c r="T742" s="11" t="s">
        <v>41</v>
      </c>
      <c r="U742" s="73"/>
    </row>
    <row r="743" spans="1:21" s="1" customFormat="1" ht="26.4" x14ac:dyDescent="0.3">
      <c r="A743" s="25" t="s">
        <v>1292</v>
      </c>
      <c r="B743" s="25" t="s">
        <v>1290</v>
      </c>
      <c r="C743" s="24" t="s">
        <v>37</v>
      </c>
      <c r="D743" s="11" t="s">
        <v>1222</v>
      </c>
      <c r="E743" s="11">
        <v>1</v>
      </c>
      <c r="F743" s="11" t="s">
        <v>907</v>
      </c>
      <c r="G743" s="11" t="s">
        <v>23</v>
      </c>
      <c r="H743" s="11" t="s">
        <v>24</v>
      </c>
      <c r="I743" s="11" t="s">
        <v>25</v>
      </c>
      <c r="J743" s="11" t="s">
        <v>26</v>
      </c>
      <c r="K743" s="50">
        <v>45288</v>
      </c>
      <c r="L743" s="50">
        <v>46086</v>
      </c>
      <c r="M743" s="11" t="s">
        <v>1276</v>
      </c>
      <c r="N743" s="11">
        <v>286494</v>
      </c>
      <c r="O743" s="55">
        <f t="shared" si="18"/>
        <v>286494</v>
      </c>
      <c r="P743" s="11" t="s">
        <v>50</v>
      </c>
      <c r="Q743" s="45" t="s">
        <v>908</v>
      </c>
      <c r="R743" s="5" t="s">
        <v>909</v>
      </c>
      <c r="S743" s="5" t="s">
        <v>1279</v>
      </c>
      <c r="T743" s="11" t="s">
        <v>41</v>
      </c>
      <c r="U743" s="73"/>
    </row>
    <row r="744" spans="1:21" s="1" customFormat="1" ht="26.4" x14ac:dyDescent="0.3">
      <c r="A744" s="25" t="s">
        <v>861</v>
      </c>
      <c r="B744" s="25" t="s">
        <v>862</v>
      </c>
      <c r="C744" s="11" t="s">
        <v>37</v>
      </c>
      <c r="D744" s="11" t="s">
        <v>1222</v>
      </c>
      <c r="E744" s="11">
        <v>1</v>
      </c>
      <c r="F744" s="11" t="s">
        <v>907</v>
      </c>
      <c r="G744" s="11" t="s">
        <v>23</v>
      </c>
      <c r="H744" s="11" t="s">
        <v>24</v>
      </c>
      <c r="I744" s="11" t="s">
        <v>25</v>
      </c>
      <c r="J744" s="11" t="s">
        <v>26</v>
      </c>
      <c r="K744" s="50">
        <v>45288</v>
      </c>
      <c r="L744" s="50">
        <v>46086</v>
      </c>
      <c r="M744" s="11" t="s">
        <v>1276</v>
      </c>
      <c r="N744" s="11">
        <v>401456</v>
      </c>
      <c r="O744" s="55">
        <f t="shared" si="18"/>
        <v>401456</v>
      </c>
      <c r="P744" s="11" t="s">
        <v>50</v>
      </c>
      <c r="Q744" s="45" t="s">
        <v>908</v>
      </c>
      <c r="R744" s="5" t="s">
        <v>909</v>
      </c>
      <c r="S744" s="5" t="s">
        <v>1279</v>
      </c>
      <c r="T744" s="11" t="s">
        <v>41</v>
      </c>
      <c r="U744" s="73"/>
    </row>
    <row r="745" spans="1:21" s="1" customFormat="1" ht="26.4" x14ac:dyDescent="0.3">
      <c r="A745" s="25" t="s">
        <v>741</v>
      </c>
      <c r="B745" s="5" t="s">
        <v>1261</v>
      </c>
      <c r="C745" s="5" t="s">
        <v>483</v>
      </c>
      <c r="D745" s="11" t="s">
        <v>1222</v>
      </c>
      <c r="E745" s="12">
        <v>1</v>
      </c>
      <c r="F745" s="5" t="s">
        <v>1257</v>
      </c>
      <c r="G745" s="11" t="s">
        <v>23</v>
      </c>
      <c r="H745" s="11" t="s">
        <v>311</v>
      </c>
      <c r="I745" s="11" t="s">
        <v>25</v>
      </c>
      <c r="J745" s="11" t="s">
        <v>26</v>
      </c>
      <c r="K745" s="52">
        <v>45121</v>
      </c>
      <c r="L745" s="52">
        <v>46085</v>
      </c>
      <c r="M745" s="5" t="s">
        <v>1258</v>
      </c>
      <c r="N745" s="5">
        <v>1169.7</v>
      </c>
      <c r="O745" s="55">
        <f t="shared" si="18"/>
        <v>1169.7</v>
      </c>
      <c r="P745" s="11"/>
      <c r="Q745" s="43" t="s">
        <v>1259</v>
      </c>
      <c r="R745" s="5">
        <v>9820023829</v>
      </c>
      <c r="S745" s="5" t="s">
        <v>1260</v>
      </c>
      <c r="T745" s="5" t="s">
        <v>41</v>
      </c>
      <c r="U745" s="73"/>
    </row>
    <row r="746" spans="1:21" s="1" customFormat="1" ht="26.4" x14ac:dyDescent="0.3">
      <c r="A746" s="17" t="s">
        <v>974</v>
      </c>
      <c r="B746" s="17" t="s">
        <v>975</v>
      </c>
      <c r="C746" s="17" t="s">
        <v>37</v>
      </c>
      <c r="D746" s="12" t="s">
        <v>49</v>
      </c>
      <c r="E746" s="17">
        <v>1</v>
      </c>
      <c r="F746" s="5" t="s">
        <v>970</v>
      </c>
      <c r="G746" s="12" t="s">
        <v>23</v>
      </c>
      <c r="H746" s="12" t="s">
        <v>24</v>
      </c>
      <c r="I746" s="12" t="s">
        <v>25</v>
      </c>
      <c r="J746" s="12" t="s">
        <v>72</v>
      </c>
      <c r="K746" s="13">
        <v>40186</v>
      </c>
      <c r="L746" s="13">
        <v>46069</v>
      </c>
      <c r="M746" s="8" t="s">
        <v>973</v>
      </c>
      <c r="N746" s="8">
        <v>425000</v>
      </c>
      <c r="O746" s="14">
        <f t="shared" si="18"/>
        <v>425000</v>
      </c>
      <c r="P746" s="17" t="s">
        <v>50</v>
      </c>
      <c r="Q746" s="7" t="s">
        <v>1117</v>
      </c>
      <c r="R746" s="8" t="s">
        <v>1118</v>
      </c>
      <c r="S746" s="8" t="s">
        <v>1119</v>
      </c>
      <c r="T746" s="8" t="s">
        <v>1145</v>
      </c>
      <c r="U746" s="17"/>
    </row>
    <row r="747" spans="1:21" s="1" customFormat="1" ht="26.4" x14ac:dyDescent="0.3">
      <c r="A747" s="25" t="s">
        <v>895</v>
      </c>
      <c r="B747" s="17" t="s">
        <v>972</v>
      </c>
      <c r="C747" s="17" t="s">
        <v>37</v>
      </c>
      <c r="D747" s="12" t="s">
        <v>49</v>
      </c>
      <c r="E747" s="17">
        <v>1</v>
      </c>
      <c r="F747" s="5" t="s">
        <v>970</v>
      </c>
      <c r="G747" s="12" t="s">
        <v>23</v>
      </c>
      <c r="H747" s="12" t="s">
        <v>24</v>
      </c>
      <c r="I747" s="12" t="s">
        <v>25</v>
      </c>
      <c r="J747" s="12" t="s">
        <v>72</v>
      </c>
      <c r="K747" s="13">
        <v>40186</v>
      </c>
      <c r="L747" s="13">
        <v>46069</v>
      </c>
      <c r="M747" s="8" t="s">
        <v>973</v>
      </c>
      <c r="N747" s="8">
        <v>2345000</v>
      </c>
      <c r="O747" s="14">
        <f t="shared" si="18"/>
        <v>2345000</v>
      </c>
      <c r="P747" s="17" t="s">
        <v>50</v>
      </c>
      <c r="Q747" s="7" t="s">
        <v>1117</v>
      </c>
      <c r="R747" s="8" t="s">
        <v>1118</v>
      </c>
      <c r="S747" s="8" t="s">
        <v>1119</v>
      </c>
      <c r="T747" s="8" t="s">
        <v>1145</v>
      </c>
      <c r="U747" s="17"/>
    </row>
    <row r="748" spans="1:21" s="1" customFormat="1" ht="14.4" x14ac:dyDescent="0.3">
      <c r="A748" s="11" t="s">
        <v>370</v>
      </c>
      <c r="B748" s="24" t="s">
        <v>371</v>
      </c>
      <c r="C748" s="11" t="s">
        <v>372</v>
      </c>
      <c r="D748" s="11" t="s">
        <v>49</v>
      </c>
      <c r="E748" s="11">
        <v>1</v>
      </c>
      <c r="F748" s="24" t="s">
        <v>37</v>
      </c>
      <c r="G748" s="11" t="s">
        <v>23</v>
      </c>
      <c r="H748" s="11" t="s">
        <v>24</v>
      </c>
      <c r="I748" s="11" t="s">
        <v>25</v>
      </c>
      <c r="J748" s="11" t="s">
        <v>26</v>
      </c>
      <c r="K748" s="24" t="s">
        <v>37</v>
      </c>
      <c r="L748" s="93">
        <v>46104</v>
      </c>
      <c r="M748" s="24" t="s">
        <v>37</v>
      </c>
      <c r="N748" s="24">
        <v>0</v>
      </c>
      <c r="O748" s="55">
        <f t="shared" si="18"/>
        <v>0</v>
      </c>
      <c r="P748" s="11" t="s">
        <v>73</v>
      </c>
      <c r="Q748" s="24" t="s">
        <v>37</v>
      </c>
      <c r="R748" s="24" t="s">
        <v>37</v>
      </c>
      <c r="S748" s="24" t="s">
        <v>37</v>
      </c>
      <c r="T748" s="24" t="s">
        <v>37</v>
      </c>
      <c r="U748" s="94" t="s">
        <v>863</v>
      </c>
    </row>
    <row r="749" spans="1:21" s="1" customFormat="1" ht="26.4" x14ac:dyDescent="0.3">
      <c r="A749" s="24" t="s">
        <v>864</v>
      </c>
      <c r="B749" s="5" t="s">
        <v>1261</v>
      </c>
      <c r="C749" s="5" t="s">
        <v>483</v>
      </c>
      <c r="D749" s="11" t="s">
        <v>49</v>
      </c>
      <c r="E749" s="11">
        <v>2</v>
      </c>
      <c r="F749" s="5" t="s">
        <v>1257</v>
      </c>
      <c r="G749" s="11" t="s">
        <v>23</v>
      </c>
      <c r="H749" s="11" t="s">
        <v>311</v>
      </c>
      <c r="I749" s="11" t="s">
        <v>25</v>
      </c>
      <c r="J749" s="11" t="s">
        <v>26</v>
      </c>
      <c r="K749" s="52">
        <v>45121</v>
      </c>
      <c r="L749" s="52">
        <v>46085</v>
      </c>
      <c r="M749" s="5" t="s">
        <v>1258</v>
      </c>
      <c r="N749" s="5">
        <v>1169.7</v>
      </c>
      <c r="O749" s="55">
        <f t="shared" si="18"/>
        <v>2339.4</v>
      </c>
      <c r="P749" s="11" t="s">
        <v>73</v>
      </c>
      <c r="Q749" s="43" t="s">
        <v>1259</v>
      </c>
      <c r="R749" s="5">
        <v>9820023829</v>
      </c>
      <c r="S749" s="5" t="s">
        <v>1260</v>
      </c>
      <c r="T749" s="5" t="s">
        <v>41</v>
      </c>
      <c r="U749" s="94" t="s">
        <v>864</v>
      </c>
    </row>
    <row r="750" spans="1:21" s="1" customFormat="1" ht="26.4" x14ac:dyDescent="0.3">
      <c r="A750" s="24" t="s">
        <v>744</v>
      </c>
      <c r="B750" s="24" t="s">
        <v>865</v>
      </c>
      <c r="C750" s="11" t="s">
        <v>416</v>
      </c>
      <c r="D750" s="11" t="s">
        <v>1313</v>
      </c>
      <c r="E750" s="12">
        <v>1</v>
      </c>
      <c r="F750" s="5" t="s">
        <v>407</v>
      </c>
      <c r="G750" s="11" t="s">
        <v>23</v>
      </c>
      <c r="H750" s="34" t="s">
        <v>408</v>
      </c>
      <c r="I750" s="11" t="s">
        <v>25</v>
      </c>
      <c r="J750" s="11" t="s">
        <v>26</v>
      </c>
      <c r="K750" s="59">
        <v>43544</v>
      </c>
      <c r="L750" s="91">
        <v>46045</v>
      </c>
      <c r="M750" s="5" t="s">
        <v>418</v>
      </c>
      <c r="N750" s="55">
        <v>9405</v>
      </c>
      <c r="O750" s="55">
        <f t="shared" si="18"/>
        <v>9405</v>
      </c>
      <c r="P750" s="11"/>
      <c r="Q750" s="43" t="s">
        <v>409</v>
      </c>
      <c r="R750" s="5">
        <v>9930806006</v>
      </c>
      <c r="S750" s="5" t="s">
        <v>410</v>
      </c>
      <c r="T750" s="34" t="s">
        <v>1144</v>
      </c>
      <c r="U750" s="79" t="s">
        <v>744</v>
      </c>
    </row>
    <row r="751" spans="1:21" s="1" customFormat="1" ht="26.4" x14ac:dyDescent="0.3">
      <c r="A751" s="28" t="s">
        <v>818</v>
      </c>
      <c r="B751" s="24" t="s">
        <v>881</v>
      </c>
      <c r="C751" s="28" t="s">
        <v>820</v>
      </c>
      <c r="D751" s="5" t="s">
        <v>462</v>
      </c>
      <c r="E751" s="24">
        <v>1</v>
      </c>
      <c r="F751" s="28" t="s">
        <v>821</v>
      </c>
      <c r="G751" s="5" t="s">
        <v>23</v>
      </c>
      <c r="H751" s="5" t="s">
        <v>580</v>
      </c>
      <c r="I751" s="24" t="s">
        <v>25</v>
      </c>
      <c r="J751" s="11" t="s">
        <v>740</v>
      </c>
      <c r="K751" s="52">
        <v>44987</v>
      </c>
      <c r="L751" s="91">
        <v>46042</v>
      </c>
      <c r="M751" s="5" t="s">
        <v>822</v>
      </c>
      <c r="N751" s="5">
        <v>6500</v>
      </c>
      <c r="O751" s="55">
        <f t="shared" si="18"/>
        <v>6500</v>
      </c>
      <c r="P751" s="24" t="s">
        <v>50</v>
      </c>
      <c r="Q751" s="5" t="s">
        <v>823</v>
      </c>
      <c r="R751" s="5">
        <v>9820797926</v>
      </c>
      <c r="S751" s="5" t="s">
        <v>824</v>
      </c>
      <c r="T751" s="24" t="s">
        <v>32</v>
      </c>
      <c r="U751" s="25" t="s">
        <v>37</v>
      </c>
    </row>
    <row r="752" spans="1:21" s="6" customFormat="1" ht="26.4" x14ac:dyDescent="0.3">
      <c r="A752" s="25" t="s">
        <v>852</v>
      </c>
      <c r="B752" s="25" t="s">
        <v>866</v>
      </c>
      <c r="C752" s="17" t="s">
        <v>37</v>
      </c>
      <c r="D752" s="12" t="s">
        <v>1326</v>
      </c>
      <c r="E752" s="12">
        <v>1</v>
      </c>
      <c r="F752" s="5" t="s">
        <v>821</v>
      </c>
      <c r="G752" s="12" t="s">
        <v>23</v>
      </c>
      <c r="H752" s="12" t="s">
        <v>408</v>
      </c>
      <c r="I752" s="12" t="s">
        <v>25</v>
      </c>
      <c r="J752" s="12" t="s">
        <v>72</v>
      </c>
      <c r="K752" s="13">
        <v>45899</v>
      </c>
      <c r="L752" s="13">
        <v>46035</v>
      </c>
      <c r="M752" s="8" t="s">
        <v>871</v>
      </c>
      <c r="N752" s="14">
        <v>1275</v>
      </c>
      <c r="O752" s="14">
        <f t="shared" si="18"/>
        <v>1275</v>
      </c>
      <c r="P752" s="17"/>
      <c r="Q752" s="7" t="s">
        <v>823</v>
      </c>
      <c r="R752" s="8">
        <v>9820797926</v>
      </c>
      <c r="S752" s="8" t="s">
        <v>868</v>
      </c>
      <c r="T752" s="8" t="s">
        <v>941</v>
      </c>
      <c r="U752" s="17" t="s">
        <v>37</v>
      </c>
    </row>
    <row r="753" spans="1:21" s="1" customFormat="1" ht="26.4" x14ac:dyDescent="0.3">
      <c r="A753" s="31" t="s">
        <v>869</v>
      </c>
      <c r="B753" s="31" t="s">
        <v>870</v>
      </c>
      <c r="C753" s="26" t="s">
        <v>37</v>
      </c>
      <c r="D753" s="11" t="s">
        <v>308</v>
      </c>
      <c r="E753" s="31">
        <v>5</v>
      </c>
      <c r="F753" s="25" t="s">
        <v>821</v>
      </c>
      <c r="G753" s="11" t="s">
        <v>23</v>
      </c>
      <c r="H753" s="5" t="s">
        <v>580</v>
      </c>
      <c r="I753" s="11" t="s">
        <v>25</v>
      </c>
      <c r="J753" s="11" t="s">
        <v>26</v>
      </c>
      <c r="K753" s="52">
        <v>45899</v>
      </c>
      <c r="L753" s="50">
        <v>46043</v>
      </c>
      <c r="M753" s="5" t="s">
        <v>871</v>
      </c>
      <c r="N753" s="5">
        <v>3600</v>
      </c>
      <c r="O753" s="55">
        <f t="shared" si="18"/>
        <v>18000</v>
      </c>
      <c r="P753" s="11" t="s">
        <v>73</v>
      </c>
      <c r="Q753" s="43" t="s">
        <v>823</v>
      </c>
      <c r="R753" s="5">
        <v>9820797926</v>
      </c>
      <c r="S753" s="5" t="s">
        <v>868</v>
      </c>
      <c r="T753" s="5" t="s">
        <v>941</v>
      </c>
      <c r="U753" s="11" t="s">
        <v>317</v>
      </c>
    </row>
    <row r="754" spans="1:21" s="1" customFormat="1" ht="14.4" x14ac:dyDescent="0.3">
      <c r="A754" s="24" t="s">
        <v>412</v>
      </c>
      <c r="B754" s="24" t="s">
        <v>872</v>
      </c>
      <c r="C754" s="24" t="s">
        <v>470</v>
      </c>
      <c r="D754" s="5" t="s">
        <v>455</v>
      </c>
      <c r="E754" s="25">
        <v>1</v>
      </c>
      <c r="F754" s="11" t="s">
        <v>37</v>
      </c>
      <c r="G754" s="25" t="s">
        <v>23</v>
      </c>
      <c r="H754" s="5" t="s">
        <v>580</v>
      </c>
      <c r="I754" s="25" t="s">
        <v>25</v>
      </c>
      <c r="J754" s="25" t="s">
        <v>26</v>
      </c>
      <c r="K754" s="11" t="s">
        <v>37</v>
      </c>
      <c r="L754" s="50">
        <v>46104</v>
      </c>
      <c r="M754" s="11" t="s">
        <v>37</v>
      </c>
      <c r="N754" s="11">
        <v>0</v>
      </c>
      <c r="O754" s="55">
        <f t="shared" si="18"/>
        <v>0</v>
      </c>
      <c r="P754" s="11" t="s">
        <v>37</v>
      </c>
      <c r="Q754" s="11" t="s">
        <v>37</v>
      </c>
      <c r="R754" s="11" t="s">
        <v>37</v>
      </c>
      <c r="S754" s="11" t="s">
        <v>37</v>
      </c>
      <c r="T754" s="11" t="s">
        <v>37</v>
      </c>
      <c r="U754" s="43" t="s">
        <v>873</v>
      </c>
    </row>
    <row r="755" spans="1:21" s="1" customFormat="1" ht="14.4" x14ac:dyDescent="0.3">
      <c r="A755" s="24" t="s">
        <v>874</v>
      </c>
      <c r="B755" s="24" t="s">
        <v>875</v>
      </c>
      <c r="C755" s="24" t="s">
        <v>37</v>
      </c>
      <c r="D755" s="5" t="s">
        <v>455</v>
      </c>
      <c r="E755" s="25">
        <v>1</v>
      </c>
      <c r="F755" s="5" t="s">
        <v>407</v>
      </c>
      <c r="G755" s="25" t="s">
        <v>23</v>
      </c>
      <c r="H755" s="5" t="s">
        <v>580</v>
      </c>
      <c r="I755" s="25" t="s">
        <v>25</v>
      </c>
      <c r="J755" s="25" t="s">
        <v>26</v>
      </c>
      <c r="K755" s="59">
        <v>42816</v>
      </c>
      <c r="L755" s="50">
        <v>46056</v>
      </c>
      <c r="M755" s="5">
        <v>2475</v>
      </c>
      <c r="N755" s="11">
        <v>47900</v>
      </c>
      <c r="O755" s="55">
        <f t="shared" si="18"/>
        <v>47900</v>
      </c>
      <c r="P755" s="5" t="s">
        <v>73</v>
      </c>
      <c r="Q755" s="78" t="s">
        <v>409</v>
      </c>
      <c r="R755" s="26">
        <v>9930806006</v>
      </c>
      <c r="S755" s="26" t="s">
        <v>410</v>
      </c>
      <c r="T755" s="24" t="s">
        <v>37</v>
      </c>
      <c r="U755" s="79" t="s">
        <v>875</v>
      </c>
    </row>
    <row r="756" spans="1:21" s="1" customFormat="1" ht="26.4" x14ac:dyDescent="0.3">
      <c r="A756" s="24" t="s">
        <v>876</v>
      </c>
      <c r="B756" s="24" t="s">
        <v>877</v>
      </c>
      <c r="C756" s="11" t="s">
        <v>416</v>
      </c>
      <c r="D756" s="5" t="s">
        <v>1323</v>
      </c>
      <c r="E756" s="25">
        <v>1</v>
      </c>
      <c r="F756" s="5" t="s">
        <v>440</v>
      </c>
      <c r="G756" s="25" t="s">
        <v>23</v>
      </c>
      <c r="H756" s="5" t="s">
        <v>580</v>
      </c>
      <c r="I756" s="25" t="s">
        <v>25</v>
      </c>
      <c r="J756" s="25" t="s">
        <v>26</v>
      </c>
      <c r="K756" s="59">
        <v>43614</v>
      </c>
      <c r="L756" s="50">
        <v>46045</v>
      </c>
      <c r="M756" s="5" t="s">
        <v>441</v>
      </c>
      <c r="N756" s="55">
        <v>34568.231428571402</v>
      </c>
      <c r="O756" s="55">
        <f t="shared" si="18"/>
        <v>34568.231428571402</v>
      </c>
      <c r="P756" s="5" t="s">
        <v>73</v>
      </c>
      <c r="Q756" s="11" t="s">
        <v>37</v>
      </c>
      <c r="R756" s="11" t="s">
        <v>37</v>
      </c>
      <c r="S756" s="11" t="s">
        <v>37</v>
      </c>
      <c r="T756" s="24" t="s">
        <v>58</v>
      </c>
      <c r="U756" s="79" t="s">
        <v>878</v>
      </c>
    </row>
    <row r="757" spans="1:21" s="1" customFormat="1" ht="14.4" x14ac:dyDescent="0.3">
      <c r="A757" s="24" t="s">
        <v>876</v>
      </c>
      <c r="B757" s="24" t="s">
        <v>879</v>
      </c>
      <c r="C757" s="24" t="s">
        <v>406</v>
      </c>
      <c r="D757" s="11" t="s">
        <v>1312</v>
      </c>
      <c r="E757" s="11">
        <v>1</v>
      </c>
      <c r="F757" s="5" t="s">
        <v>440</v>
      </c>
      <c r="G757" s="11" t="s">
        <v>23</v>
      </c>
      <c r="H757" s="5" t="s">
        <v>580</v>
      </c>
      <c r="I757" s="11" t="s">
        <v>25</v>
      </c>
      <c r="J757" s="11" t="s">
        <v>26</v>
      </c>
      <c r="K757" s="59">
        <v>43614</v>
      </c>
      <c r="L757" s="50">
        <v>46045</v>
      </c>
      <c r="M757" s="5" t="s">
        <v>441</v>
      </c>
      <c r="N757" s="55">
        <v>34568.231428571402</v>
      </c>
      <c r="O757" s="55">
        <f t="shared" ref="O757:O785" si="19">N757*E757</f>
        <v>34568.231428571402</v>
      </c>
      <c r="P757" s="5" t="s">
        <v>73</v>
      </c>
      <c r="Q757" s="11" t="s">
        <v>37</v>
      </c>
      <c r="R757" s="11" t="s">
        <v>37</v>
      </c>
      <c r="S757" s="11" t="s">
        <v>37</v>
      </c>
      <c r="T757" s="24" t="s">
        <v>58</v>
      </c>
      <c r="U757" s="79" t="s">
        <v>879</v>
      </c>
    </row>
    <row r="758" spans="1:21" s="1" customFormat="1" ht="26.4" x14ac:dyDescent="0.3">
      <c r="A758" s="24" t="s">
        <v>876</v>
      </c>
      <c r="B758" s="24" t="s">
        <v>877</v>
      </c>
      <c r="C758" s="24" t="s">
        <v>406</v>
      </c>
      <c r="D758" s="11" t="s">
        <v>1312</v>
      </c>
      <c r="E758" s="11">
        <v>1</v>
      </c>
      <c r="F758" s="5" t="s">
        <v>440</v>
      </c>
      <c r="G758" s="11" t="s">
        <v>23</v>
      </c>
      <c r="H758" s="5" t="s">
        <v>580</v>
      </c>
      <c r="I758" s="11" t="s">
        <v>25</v>
      </c>
      <c r="J758" s="11" t="s">
        <v>26</v>
      </c>
      <c r="K758" s="59">
        <v>42825</v>
      </c>
      <c r="L758" s="50">
        <v>46045</v>
      </c>
      <c r="M758" s="5" t="s">
        <v>441</v>
      </c>
      <c r="N758" s="55">
        <v>34567</v>
      </c>
      <c r="O758" s="55">
        <f t="shared" si="19"/>
        <v>34567</v>
      </c>
      <c r="P758" s="5" t="s">
        <v>73</v>
      </c>
      <c r="Q758" s="11" t="s">
        <v>37</v>
      </c>
      <c r="R758" s="11" t="s">
        <v>37</v>
      </c>
      <c r="S758" s="11" t="s">
        <v>37</v>
      </c>
      <c r="T758" s="24" t="s">
        <v>58</v>
      </c>
      <c r="U758" s="79" t="s">
        <v>878</v>
      </c>
    </row>
    <row r="759" spans="1:21" s="1" customFormat="1" ht="14.4" x14ac:dyDescent="0.3">
      <c r="A759" s="24" t="s">
        <v>874</v>
      </c>
      <c r="B759" s="24" t="s">
        <v>875</v>
      </c>
      <c r="C759" s="5" t="s">
        <v>406</v>
      </c>
      <c r="D759" s="5" t="s">
        <v>462</v>
      </c>
      <c r="E759" s="34">
        <v>1</v>
      </c>
      <c r="F759" s="5" t="s">
        <v>407</v>
      </c>
      <c r="G759" s="5" t="s">
        <v>23</v>
      </c>
      <c r="H759" s="34" t="s">
        <v>408</v>
      </c>
      <c r="I759" s="5" t="s">
        <v>25</v>
      </c>
      <c r="J759" s="5" t="s">
        <v>26</v>
      </c>
      <c r="K759" s="59">
        <v>42816</v>
      </c>
      <c r="L759" s="50">
        <v>46056</v>
      </c>
      <c r="M759" s="5">
        <v>2475</v>
      </c>
      <c r="N759" s="11">
        <v>47900</v>
      </c>
      <c r="O759" s="55">
        <f t="shared" si="19"/>
        <v>47900</v>
      </c>
      <c r="P759" s="5" t="s">
        <v>73</v>
      </c>
      <c r="Q759" s="78" t="s">
        <v>409</v>
      </c>
      <c r="R759" s="26">
        <v>9930806006</v>
      </c>
      <c r="S759" s="26" t="s">
        <v>410</v>
      </c>
      <c r="T759" s="34" t="s">
        <v>37</v>
      </c>
      <c r="U759" s="79" t="s">
        <v>875</v>
      </c>
    </row>
    <row r="760" spans="1:21" s="1" customFormat="1" ht="14.4" x14ac:dyDescent="0.3">
      <c r="A760" s="11" t="s">
        <v>1371</v>
      </c>
      <c r="B760" s="11" t="s">
        <v>1372</v>
      </c>
      <c r="C760" s="24" t="s">
        <v>37</v>
      </c>
      <c r="D760" s="5" t="s">
        <v>462</v>
      </c>
      <c r="E760" s="98">
        <v>1</v>
      </c>
      <c r="F760" s="11" t="s">
        <v>37</v>
      </c>
      <c r="G760" s="5" t="s">
        <v>23</v>
      </c>
      <c r="H760" s="34" t="s">
        <v>408</v>
      </c>
      <c r="I760" s="5" t="s">
        <v>25</v>
      </c>
      <c r="J760" s="5" t="s">
        <v>26</v>
      </c>
      <c r="K760" s="11" t="s">
        <v>37</v>
      </c>
      <c r="L760" s="50">
        <v>46104</v>
      </c>
      <c r="M760" s="11" t="s">
        <v>37</v>
      </c>
      <c r="N760" s="11">
        <v>0</v>
      </c>
      <c r="O760" s="55">
        <f t="shared" si="19"/>
        <v>0</v>
      </c>
      <c r="P760" s="34"/>
      <c r="Q760" s="11" t="s">
        <v>37</v>
      </c>
      <c r="R760" s="11" t="s">
        <v>37</v>
      </c>
      <c r="S760" s="11" t="s">
        <v>37</v>
      </c>
      <c r="T760" s="11" t="s">
        <v>37</v>
      </c>
      <c r="U760" s="79" t="s">
        <v>880</v>
      </c>
    </row>
    <row r="761" spans="1:21" s="1" customFormat="1" ht="26.4" x14ac:dyDescent="0.3">
      <c r="A761" s="24" t="s">
        <v>882</v>
      </c>
      <c r="B761" s="24" t="s">
        <v>755</v>
      </c>
      <c r="C761" s="24" t="s">
        <v>406</v>
      </c>
      <c r="D761" s="5" t="s">
        <v>462</v>
      </c>
      <c r="E761" s="34">
        <v>1</v>
      </c>
      <c r="F761" s="5" t="s">
        <v>821</v>
      </c>
      <c r="G761" s="11" t="s">
        <v>23</v>
      </c>
      <c r="H761" s="11" t="s">
        <v>408</v>
      </c>
      <c r="I761" s="11" t="s">
        <v>25</v>
      </c>
      <c r="J761" s="11" t="s">
        <v>26</v>
      </c>
      <c r="K761" s="52">
        <v>45678</v>
      </c>
      <c r="L761" s="52">
        <v>46035</v>
      </c>
      <c r="M761" s="5" t="s">
        <v>867</v>
      </c>
      <c r="N761" s="5">
        <v>21000</v>
      </c>
      <c r="O761" s="55">
        <f t="shared" si="19"/>
        <v>21000</v>
      </c>
      <c r="P761" s="24" t="s">
        <v>73</v>
      </c>
      <c r="Q761" s="43" t="s">
        <v>823</v>
      </c>
      <c r="R761" s="5">
        <v>9820797926</v>
      </c>
      <c r="S761" s="5" t="s">
        <v>868</v>
      </c>
      <c r="T761" s="5" t="s">
        <v>941</v>
      </c>
      <c r="U761" s="79" t="s">
        <v>755</v>
      </c>
    </row>
    <row r="762" spans="1:21" s="1" customFormat="1" ht="26.4" x14ac:dyDescent="0.3">
      <c r="A762" s="24" t="s">
        <v>543</v>
      </c>
      <c r="B762" s="24" t="s">
        <v>883</v>
      </c>
      <c r="C762" s="24" t="s">
        <v>406</v>
      </c>
      <c r="D762" s="5" t="s">
        <v>1313</v>
      </c>
      <c r="E762" s="34">
        <v>1</v>
      </c>
      <c r="F762" s="5" t="s">
        <v>588</v>
      </c>
      <c r="G762" s="5" t="s">
        <v>23</v>
      </c>
      <c r="H762" s="34" t="s">
        <v>311</v>
      </c>
      <c r="I762" s="5" t="s">
        <v>25</v>
      </c>
      <c r="J762" s="5" t="s">
        <v>26</v>
      </c>
      <c r="K762" s="59">
        <v>43186</v>
      </c>
      <c r="L762" s="50">
        <v>46045</v>
      </c>
      <c r="M762" s="5">
        <v>180029</v>
      </c>
      <c r="N762" s="55">
        <v>5900</v>
      </c>
      <c r="O762" s="55">
        <f t="shared" si="19"/>
        <v>5900</v>
      </c>
      <c r="P762" s="5" t="s">
        <v>73</v>
      </c>
      <c r="Q762" s="26" t="s">
        <v>585</v>
      </c>
      <c r="R762" s="26" t="s">
        <v>586</v>
      </c>
      <c r="S762" s="26" t="s">
        <v>37</v>
      </c>
      <c r="T762" s="34" t="s">
        <v>37</v>
      </c>
      <c r="U762" s="79" t="s">
        <v>883</v>
      </c>
    </row>
    <row r="763" spans="1:21" s="1" customFormat="1" ht="26.4" x14ac:dyDescent="0.3">
      <c r="A763" s="11" t="s">
        <v>1179</v>
      </c>
      <c r="B763" s="24" t="s">
        <v>762</v>
      </c>
      <c r="C763" s="24" t="s">
        <v>37</v>
      </c>
      <c r="D763" s="5" t="s">
        <v>462</v>
      </c>
      <c r="E763" s="34">
        <v>1</v>
      </c>
      <c r="F763" s="5" t="s">
        <v>407</v>
      </c>
      <c r="G763" s="5" t="s">
        <v>23</v>
      </c>
      <c r="H763" s="34" t="s">
        <v>311</v>
      </c>
      <c r="I763" s="5" t="s">
        <v>25</v>
      </c>
      <c r="J763" s="5" t="s">
        <v>26</v>
      </c>
      <c r="K763" s="83">
        <v>43544</v>
      </c>
      <c r="L763" s="50">
        <v>46045</v>
      </c>
      <c r="M763" s="5" t="s">
        <v>884</v>
      </c>
      <c r="N763" s="55">
        <v>57454.75</v>
      </c>
      <c r="O763" s="55">
        <f t="shared" si="19"/>
        <v>57454.75</v>
      </c>
      <c r="P763" s="11" t="s">
        <v>73</v>
      </c>
      <c r="Q763" s="43" t="s">
        <v>409</v>
      </c>
      <c r="R763" s="5">
        <v>9930806006</v>
      </c>
      <c r="S763" s="5" t="s">
        <v>410</v>
      </c>
      <c r="T763" s="11" t="s">
        <v>1144</v>
      </c>
      <c r="U763" s="79" t="s">
        <v>762</v>
      </c>
    </row>
    <row r="764" spans="1:21" s="1" customFormat="1" ht="14.4" x14ac:dyDescent="0.3">
      <c r="A764" s="24" t="s">
        <v>543</v>
      </c>
      <c r="B764" s="24" t="s">
        <v>885</v>
      </c>
      <c r="C764" s="11" t="s">
        <v>416</v>
      </c>
      <c r="D764" s="5" t="s">
        <v>417</v>
      </c>
      <c r="E764" s="24">
        <v>3</v>
      </c>
      <c r="F764" s="5" t="s">
        <v>886</v>
      </c>
      <c r="G764" s="11" t="s">
        <v>23</v>
      </c>
      <c r="H764" s="11" t="s">
        <v>408</v>
      </c>
      <c r="I764" s="11" t="s">
        <v>25</v>
      </c>
      <c r="J764" s="11" t="s">
        <v>26</v>
      </c>
      <c r="K764" s="59">
        <v>43077</v>
      </c>
      <c r="L764" s="93">
        <v>46045</v>
      </c>
      <c r="M764" s="5" t="s">
        <v>887</v>
      </c>
      <c r="N764" s="55">
        <v>20022</v>
      </c>
      <c r="O764" s="55">
        <f t="shared" si="19"/>
        <v>60066</v>
      </c>
      <c r="P764" s="5" t="s">
        <v>73</v>
      </c>
      <c r="Q764" s="26" t="s">
        <v>888</v>
      </c>
      <c r="R764" s="31" t="s">
        <v>889</v>
      </c>
      <c r="S764" s="26" t="s">
        <v>890</v>
      </c>
      <c r="T764" s="24" t="s">
        <v>37</v>
      </c>
      <c r="U764" s="25"/>
    </row>
    <row r="765" spans="1:21" s="1" customFormat="1" ht="26.4" x14ac:dyDescent="0.3">
      <c r="A765" s="25" t="s">
        <v>1324</v>
      </c>
      <c r="B765" s="25" t="s">
        <v>1241</v>
      </c>
      <c r="C765" s="24" t="s">
        <v>37</v>
      </c>
      <c r="D765" s="11" t="s">
        <v>265</v>
      </c>
      <c r="E765" s="25">
        <v>1</v>
      </c>
      <c r="F765" s="5" t="s">
        <v>1287</v>
      </c>
      <c r="G765" s="25" t="s">
        <v>23</v>
      </c>
      <c r="H765" s="11" t="s">
        <v>24</v>
      </c>
      <c r="I765" s="11" t="s">
        <v>25</v>
      </c>
      <c r="J765" s="24" t="s">
        <v>26</v>
      </c>
      <c r="K765" s="57">
        <v>42185</v>
      </c>
      <c r="L765" s="93">
        <v>46084</v>
      </c>
      <c r="M765" s="25" t="s">
        <v>1224</v>
      </c>
      <c r="N765" s="25">
        <v>67800</v>
      </c>
      <c r="O765" s="55">
        <f t="shared" si="19"/>
        <v>67800</v>
      </c>
      <c r="P765" s="24" t="s">
        <v>50</v>
      </c>
      <c r="Q765" s="5" t="s">
        <v>37</v>
      </c>
      <c r="R765" s="25">
        <v>8044464585</v>
      </c>
      <c r="S765" s="5" t="s">
        <v>1223</v>
      </c>
      <c r="T765" s="25" t="s">
        <v>643</v>
      </c>
      <c r="U765" s="25"/>
    </row>
    <row r="766" spans="1:21" s="1" customFormat="1" ht="26.4" x14ac:dyDescent="0.3">
      <c r="A766" s="25" t="s">
        <v>1325</v>
      </c>
      <c r="B766" s="25" t="s">
        <v>1241</v>
      </c>
      <c r="C766" s="24" t="s">
        <v>37</v>
      </c>
      <c r="D766" s="11" t="s">
        <v>265</v>
      </c>
      <c r="E766" s="25">
        <v>1</v>
      </c>
      <c r="F766" s="5" t="s">
        <v>1287</v>
      </c>
      <c r="G766" s="25" t="s">
        <v>23</v>
      </c>
      <c r="H766" s="11" t="s">
        <v>24</v>
      </c>
      <c r="I766" s="11" t="s">
        <v>25</v>
      </c>
      <c r="J766" s="24" t="s">
        <v>26</v>
      </c>
      <c r="K766" s="57">
        <v>42185</v>
      </c>
      <c r="L766" s="93">
        <v>46084</v>
      </c>
      <c r="M766" s="25" t="s">
        <v>1224</v>
      </c>
      <c r="N766" s="25">
        <v>67800</v>
      </c>
      <c r="O766" s="55">
        <f t="shared" si="19"/>
        <v>67800</v>
      </c>
      <c r="P766" s="24" t="s">
        <v>50</v>
      </c>
      <c r="Q766" s="5" t="s">
        <v>37</v>
      </c>
      <c r="R766" s="25">
        <v>8044464585</v>
      </c>
      <c r="S766" s="5" t="s">
        <v>1223</v>
      </c>
      <c r="T766" s="25" t="s">
        <v>643</v>
      </c>
      <c r="U766" s="25"/>
    </row>
    <row r="767" spans="1:21" s="1" customFormat="1" ht="14.4" x14ac:dyDescent="0.3">
      <c r="A767" s="25" t="s">
        <v>1427</v>
      </c>
      <c r="B767" s="25" t="s">
        <v>891</v>
      </c>
      <c r="C767" s="24" t="s">
        <v>37</v>
      </c>
      <c r="D767" s="11" t="s">
        <v>265</v>
      </c>
      <c r="E767" s="25">
        <v>1</v>
      </c>
      <c r="F767" s="24" t="s">
        <v>37</v>
      </c>
      <c r="G767" s="25" t="s">
        <v>23</v>
      </c>
      <c r="H767" s="11" t="s">
        <v>24</v>
      </c>
      <c r="I767" s="11" t="s">
        <v>25</v>
      </c>
      <c r="J767" s="24" t="s">
        <v>26</v>
      </c>
      <c r="K767" s="52" t="s">
        <v>37</v>
      </c>
      <c r="L767" s="50">
        <v>46101</v>
      </c>
      <c r="M767" s="25" t="s">
        <v>37</v>
      </c>
      <c r="N767" s="11">
        <v>0</v>
      </c>
      <c r="O767" s="55">
        <f t="shared" si="19"/>
        <v>0</v>
      </c>
      <c r="P767" s="24" t="s">
        <v>50</v>
      </c>
      <c r="Q767" s="28" t="s">
        <v>37</v>
      </c>
      <c r="R767" s="28" t="s">
        <v>37</v>
      </c>
      <c r="S767" s="28" t="s">
        <v>37</v>
      </c>
      <c r="T767" s="28" t="s">
        <v>37</v>
      </c>
      <c r="U767" s="25"/>
    </row>
    <row r="768" spans="1:21" s="1" customFormat="1" ht="14.4" x14ac:dyDescent="0.3">
      <c r="A768" s="25" t="s">
        <v>1428</v>
      </c>
      <c r="B768" s="25" t="s">
        <v>892</v>
      </c>
      <c r="C768" s="24" t="s">
        <v>37</v>
      </c>
      <c r="D768" s="11" t="s">
        <v>265</v>
      </c>
      <c r="E768" s="25">
        <v>1</v>
      </c>
      <c r="F768" s="24" t="s">
        <v>37</v>
      </c>
      <c r="G768" s="25" t="s">
        <v>23</v>
      </c>
      <c r="H768" s="11" t="s">
        <v>24</v>
      </c>
      <c r="I768" s="11" t="s">
        <v>25</v>
      </c>
      <c r="J768" s="24" t="s">
        <v>26</v>
      </c>
      <c r="K768" s="52" t="s">
        <v>37</v>
      </c>
      <c r="L768" s="50">
        <v>46101</v>
      </c>
      <c r="M768" s="25" t="s">
        <v>37</v>
      </c>
      <c r="N768" s="11">
        <v>0</v>
      </c>
      <c r="O768" s="55">
        <f t="shared" si="19"/>
        <v>0</v>
      </c>
      <c r="P768" s="24" t="s">
        <v>50</v>
      </c>
      <c r="Q768" s="28" t="s">
        <v>37</v>
      </c>
      <c r="R768" s="28" t="s">
        <v>37</v>
      </c>
      <c r="S768" s="28" t="s">
        <v>37</v>
      </c>
      <c r="T768" s="28" t="s">
        <v>37</v>
      </c>
      <c r="U768" s="25"/>
    </row>
    <row r="769" spans="1:21" s="1" customFormat="1" ht="14.4" x14ac:dyDescent="0.3">
      <c r="A769" s="25" t="s">
        <v>893</v>
      </c>
      <c r="B769" s="25" t="s">
        <v>894</v>
      </c>
      <c r="C769" s="24" t="s">
        <v>37</v>
      </c>
      <c r="D769" s="11" t="s">
        <v>265</v>
      </c>
      <c r="E769" s="25">
        <v>1</v>
      </c>
      <c r="F769" s="24" t="s">
        <v>37</v>
      </c>
      <c r="G769" s="25" t="s">
        <v>23</v>
      </c>
      <c r="H769" s="11" t="s">
        <v>24</v>
      </c>
      <c r="I769" s="11" t="s">
        <v>25</v>
      </c>
      <c r="J769" s="24" t="s">
        <v>26</v>
      </c>
      <c r="K769" s="52" t="s">
        <v>37</v>
      </c>
      <c r="L769" s="50">
        <v>46101</v>
      </c>
      <c r="M769" s="25" t="s">
        <v>37</v>
      </c>
      <c r="N769" s="11">
        <v>0</v>
      </c>
      <c r="O769" s="55">
        <f t="shared" si="19"/>
        <v>0</v>
      </c>
      <c r="P769" s="24" t="s">
        <v>73</v>
      </c>
      <c r="Q769" s="28" t="s">
        <v>37</v>
      </c>
      <c r="R769" s="28" t="s">
        <v>37</v>
      </c>
      <c r="S769" s="28" t="s">
        <v>37</v>
      </c>
      <c r="T769" s="28" t="s">
        <v>37</v>
      </c>
      <c r="U769" s="25"/>
    </row>
    <row r="770" spans="1:21" s="1" customFormat="1" ht="14.4" x14ac:dyDescent="0.3">
      <c r="A770" s="25" t="s">
        <v>895</v>
      </c>
      <c r="B770" s="25" t="s">
        <v>896</v>
      </c>
      <c r="C770" s="24" t="s">
        <v>37</v>
      </c>
      <c r="D770" s="11" t="s">
        <v>265</v>
      </c>
      <c r="E770" s="25">
        <v>1</v>
      </c>
      <c r="F770" s="24" t="s">
        <v>37</v>
      </c>
      <c r="G770" s="25" t="s">
        <v>23</v>
      </c>
      <c r="H770" s="11" t="s">
        <v>24</v>
      </c>
      <c r="I770" s="11" t="s">
        <v>25</v>
      </c>
      <c r="J770" s="24" t="s">
        <v>26</v>
      </c>
      <c r="K770" s="52" t="s">
        <v>37</v>
      </c>
      <c r="L770" s="50">
        <v>46101</v>
      </c>
      <c r="M770" s="25" t="s">
        <v>37</v>
      </c>
      <c r="N770" s="11">
        <v>0</v>
      </c>
      <c r="O770" s="55">
        <f t="shared" si="19"/>
        <v>0</v>
      </c>
      <c r="P770" s="24" t="s">
        <v>73</v>
      </c>
      <c r="Q770" s="28" t="s">
        <v>37</v>
      </c>
      <c r="R770" s="28" t="s">
        <v>37</v>
      </c>
      <c r="S770" s="28" t="s">
        <v>37</v>
      </c>
      <c r="T770" s="28" t="s">
        <v>37</v>
      </c>
      <c r="U770" s="25"/>
    </row>
    <row r="771" spans="1:21" s="1" customFormat="1" ht="14.4" x14ac:dyDescent="0.3">
      <c r="A771" s="25" t="s">
        <v>897</v>
      </c>
      <c r="B771" s="25" t="s">
        <v>897</v>
      </c>
      <c r="C771" s="24" t="s">
        <v>37</v>
      </c>
      <c r="D771" s="11" t="s">
        <v>265</v>
      </c>
      <c r="E771" s="25">
        <v>1</v>
      </c>
      <c r="F771" s="24" t="s">
        <v>1287</v>
      </c>
      <c r="G771" s="25" t="s">
        <v>23</v>
      </c>
      <c r="H771" s="11" t="s">
        <v>24</v>
      </c>
      <c r="I771" s="11" t="s">
        <v>25</v>
      </c>
      <c r="J771" s="24" t="s">
        <v>26</v>
      </c>
      <c r="K771" s="57">
        <v>42140</v>
      </c>
      <c r="L771" s="93">
        <v>46086</v>
      </c>
      <c r="M771" s="25" t="s">
        <v>1224</v>
      </c>
      <c r="N771" s="25">
        <v>135000</v>
      </c>
      <c r="O771" s="55">
        <f t="shared" si="19"/>
        <v>135000</v>
      </c>
      <c r="P771" s="24" t="s">
        <v>50</v>
      </c>
      <c r="Q771" s="5" t="s">
        <v>37</v>
      </c>
      <c r="R771" s="25">
        <v>8044464585</v>
      </c>
      <c r="S771" s="5" t="s">
        <v>1223</v>
      </c>
      <c r="T771" s="24"/>
      <c r="U771" s="25"/>
    </row>
    <row r="772" spans="1:21" s="1" customFormat="1" ht="14.4" x14ac:dyDescent="0.3">
      <c r="A772" s="25" t="s">
        <v>898</v>
      </c>
      <c r="B772" s="25" t="s">
        <v>898</v>
      </c>
      <c r="C772" s="24" t="s">
        <v>37</v>
      </c>
      <c r="D772" s="11" t="s">
        <v>265</v>
      </c>
      <c r="E772" s="25">
        <v>1</v>
      </c>
      <c r="F772" s="24" t="s">
        <v>1287</v>
      </c>
      <c r="G772" s="25" t="s">
        <v>23</v>
      </c>
      <c r="H772" s="11" t="s">
        <v>24</v>
      </c>
      <c r="I772" s="11" t="s">
        <v>25</v>
      </c>
      <c r="J772" s="24" t="s">
        <v>26</v>
      </c>
      <c r="K772" s="57">
        <v>42140</v>
      </c>
      <c r="L772" s="93">
        <v>46086</v>
      </c>
      <c r="M772" s="25" t="s">
        <v>1224</v>
      </c>
      <c r="N772" s="25">
        <v>135000</v>
      </c>
      <c r="O772" s="55">
        <f t="shared" si="19"/>
        <v>135000</v>
      </c>
      <c r="P772" s="24" t="s">
        <v>50</v>
      </c>
      <c r="Q772" s="5" t="s">
        <v>37</v>
      </c>
      <c r="R772" s="25">
        <v>8044464585</v>
      </c>
      <c r="S772" s="5" t="s">
        <v>1223</v>
      </c>
      <c r="T772" s="24"/>
      <c r="U772" s="25"/>
    </row>
    <row r="773" spans="1:21" s="1" customFormat="1" ht="14.4" x14ac:dyDescent="0.3">
      <c r="A773" s="25" t="s">
        <v>899</v>
      </c>
      <c r="B773" s="25" t="s">
        <v>899</v>
      </c>
      <c r="C773" s="24" t="s">
        <v>37</v>
      </c>
      <c r="D773" s="11" t="s">
        <v>265</v>
      </c>
      <c r="E773" s="25">
        <v>1</v>
      </c>
      <c r="F773" s="24" t="s">
        <v>1287</v>
      </c>
      <c r="G773" s="25" t="s">
        <v>23</v>
      </c>
      <c r="H773" s="11" t="s">
        <v>24</v>
      </c>
      <c r="I773" s="11" t="s">
        <v>25</v>
      </c>
      <c r="J773" s="24" t="s">
        <v>26</v>
      </c>
      <c r="K773" s="57">
        <v>42140</v>
      </c>
      <c r="L773" s="93">
        <v>46086</v>
      </c>
      <c r="M773" s="25" t="s">
        <v>1224</v>
      </c>
      <c r="N773" s="25">
        <v>135000</v>
      </c>
      <c r="O773" s="55">
        <f t="shared" si="19"/>
        <v>135000</v>
      </c>
      <c r="P773" s="24" t="s">
        <v>50</v>
      </c>
      <c r="Q773" s="5" t="s">
        <v>37</v>
      </c>
      <c r="R773" s="25">
        <v>8044464585</v>
      </c>
      <c r="S773" s="5" t="s">
        <v>1223</v>
      </c>
      <c r="T773" s="24"/>
      <c r="U773" s="25"/>
    </row>
    <row r="774" spans="1:21" s="1" customFormat="1" ht="26.4" x14ac:dyDescent="0.3">
      <c r="A774" s="25" t="s">
        <v>900</v>
      </c>
      <c r="B774" s="25" t="s">
        <v>1242</v>
      </c>
      <c r="C774" s="24" t="s">
        <v>37</v>
      </c>
      <c r="D774" s="11" t="s">
        <v>265</v>
      </c>
      <c r="E774" s="25">
        <v>1</v>
      </c>
      <c r="F774" s="24" t="s">
        <v>1287</v>
      </c>
      <c r="G774" s="25" t="s">
        <v>23</v>
      </c>
      <c r="H774" s="11" t="s">
        <v>24</v>
      </c>
      <c r="I774" s="11" t="s">
        <v>25</v>
      </c>
      <c r="J774" s="24" t="s">
        <v>26</v>
      </c>
      <c r="K774" s="57">
        <v>42185</v>
      </c>
      <c r="L774" s="93">
        <v>46084</v>
      </c>
      <c r="M774" s="25" t="s">
        <v>1224</v>
      </c>
      <c r="N774" s="25">
        <v>40950</v>
      </c>
      <c r="O774" s="55">
        <f t="shared" si="19"/>
        <v>40950</v>
      </c>
      <c r="P774" s="24" t="s">
        <v>73</v>
      </c>
      <c r="Q774" s="5" t="s">
        <v>37</v>
      </c>
      <c r="R774" s="25">
        <v>8044464585</v>
      </c>
      <c r="S774" s="5" t="s">
        <v>1223</v>
      </c>
      <c r="T774" s="24" t="s">
        <v>643</v>
      </c>
      <c r="U774" s="25"/>
    </row>
    <row r="775" spans="1:21" s="1" customFormat="1" ht="26.4" x14ac:dyDescent="0.3">
      <c r="A775" s="25" t="s">
        <v>901</v>
      </c>
      <c r="B775" s="25" t="s">
        <v>1242</v>
      </c>
      <c r="C775" s="24" t="s">
        <v>37</v>
      </c>
      <c r="D775" s="11" t="s">
        <v>265</v>
      </c>
      <c r="E775" s="25">
        <v>1</v>
      </c>
      <c r="F775" s="24" t="s">
        <v>1287</v>
      </c>
      <c r="G775" s="25" t="s">
        <v>23</v>
      </c>
      <c r="H775" s="11" t="s">
        <v>24</v>
      </c>
      <c r="I775" s="11" t="s">
        <v>25</v>
      </c>
      <c r="J775" s="24" t="s">
        <v>26</v>
      </c>
      <c r="K775" s="57">
        <v>42185</v>
      </c>
      <c r="L775" s="93">
        <v>46084</v>
      </c>
      <c r="M775" s="25" t="s">
        <v>1224</v>
      </c>
      <c r="N775" s="25">
        <v>40950</v>
      </c>
      <c r="O775" s="55">
        <f t="shared" si="19"/>
        <v>40950</v>
      </c>
      <c r="P775" s="24" t="s">
        <v>73</v>
      </c>
      <c r="Q775" s="5" t="s">
        <v>37</v>
      </c>
      <c r="R775" s="25">
        <v>8044464585</v>
      </c>
      <c r="S775" s="5" t="s">
        <v>1223</v>
      </c>
      <c r="T775" s="24" t="s">
        <v>643</v>
      </c>
      <c r="U775" s="25"/>
    </row>
    <row r="776" spans="1:21" s="1" customFormat="1" ht="26.4" x14ac:dyDescent="0.3">
      <c r="A776" s="25" t="s">
        <v>902</v>
      </c>
      <c r="B776" s="25" t="s">
        <v>1242</v>
      </c>
      <c r="C776" s="24" t="s">
        <v>37</v>
      </c>
      <c r="D776" s="11" t="s">
        <v>265</v>
      </c>
      <c r="E776" s="25">
        <v>1</v>
      </c>
      <c r="F776" s="24" t="s">
        <v>1287</v>
      </c>
      <c r="G776" s="25" t="s">
        <v>23</v>
      </c>
      <c r="H776" s="11" t="s">
        <v>24</v>
      </c>
      <c r="I776" s="11" t="s">
        <v>25</v>
      </c>
      <c r="J776" s="24" t="s">
        <v>26</v>
      </c>
      <c r="K776" s="57">
        <v>42185</v>
      </c>
      <c r="L776" s="93">
        <v>46084</v>
      </c>
      <c r="M776" s="25" t="s">
        <v>1224</v>
      </c>
      <c r="N776" s="25">
        <v>40950</v>
      </c>
      <c r="O776" s="55">
        <f t="shared" si="19"/>
        <v>40950</v>
      </c>
      <c r="P776" s="24" t="s">
        <v>73</v>
      </c>
      <c r="Q776" s="5" t="s">
        <v>37</v>
      </c>
      <c r="R776" s="25">
        <v>8044464585</v>
      </c>
      <c r="S776" s="5" t="s">
        <v>1223</v>
      </c>
      <c r="T776" s="24" t="s">
        <v>643</v>
      </c>
      <c r="U776" s="25"/>
    </row>
    <row r="777" spans="1:21" s="1" customFormat="1" ht="14.4" x14ac:dyDescent="0.3">
      <c r="A777" s="25" t="s">
        <v>903</v>
      </c>
      <c r="B777" s="25" t="s">
        <v>903</v>
      </c>
      <c r="C777" s="24" t="s">
        <v>37</v>
      </c>
      <c r="D777" s="11" t="s">
        <v>265</v>
      </c>
      <c r="E777" s="25">
        <v>1</v>
      </c>
      <c r="F777" s="24" t="s">
        <v>37</v>
      </c>
      <c r="G777" s="25" t="s">
        <v>23</v>
      </c>
      <c r="H777" s="11" t="s">
        <v>24</v>
      </c>
      <c r="I777" s="11" t="s">
        <v>25</v>
      </c>
      <c r="J777" s="24" t="s">
        <v>26</v>
      </c>
      <c r="K777" s="52" t="s">
        <v>37</v>
      </c>
      <c r="L777" s="50">
        <v>46101</v>
      </c>
      <c r="M777" s="25" t="s">
        <v>37</v>
      </c>
      <c r="N777" s="11">
        <v>0</v>
      </c>
      <c r="O777" s="55">
        <f t="shared" si="19"/>
        <v>0</v>
      </c>
      <c r="P777" s="24" t="s">
        <v>73</v>
      </c>
      <c r="Q777" s="28" t="s">
        <v>37</v>
      </c>
      <c r="R777" s="28" t="s">
        <v>37</v>
      </c>
      <c r="S777" s="28" t="s">
        <v>37</v>
      </c>
      <c r="T777" s="28" t="s">
        <v>37</v>
      </c>
      <c r="U777" s="25"/>
    </row>
    <row r="778" spans="1:21" s="1" customFormat="1" ht="14.4" x14ac:dyDescent="0.3">
      <c r="A778" s="25" t="s">
        <v>904</v>
      </c>
      <c r="B778" s="25" t="s">
        <v>904</v>
      </c>
      <c r="C778" s="24" t="s">
        <v>37</v>
      </c>
      <c r="D778" s="11" t="s">
        <v>265</v>
      </c>
      <c r="E778" s="25">
        <v>1</v>
      </c>
      <c r="F778" s="24" t="s">
        <v>37</v>
      </c>
      <c r="G778" s="25" t="s">
        <v>23</v>
      </c>
      <c r="H778" s="11" t="s">
        <v>24</v>
      </c>
      <c r="I778" s="11" t="s">
        <v>25</v>
      </c>
      <c r="J778" s="24" t="s">
        <v>26</v>
      </c>
      <c r="K778" s="52" t="s">
        <v>37</v>
      </c>
      <c r="L778" s="50">
        <v>46101</v>
      </c>
      <c r="M778" s="25" t="s">
        <v>37</v>
      </c>
      <c r="N778" s="11">
        <v>0</v>
      </c>
      <c r="O778" s="55">
        <f t="shared" si="19"/>
        <v>0</v>
      </c>
      <c r="P778" s="24" t="s">
        <v>73</v>
      </c>
      <c r="Q778" s="28" t="s">
        <v>37</v>
      </c>
      <c r="R778" s="28" t="s">
        <v>37</v>
      </c>
      <c r="S778" s="28" t="s">
        <v>37</v>
      </c>
      <c r="T778" s="28" t="s">
        <v>37</v>
      </c>
      <c r="U778" s="25"/>
    </row>
    <row r="779" spans="1:21" s="1" customFormat="1" ht="14.4" x14ac:dyDescent="0.3">
      <c r="A779" s="25" t="s">
        <v>905</v>
      </c>
      <c r="B779" s="25" t="s">
        <v>905</v>
      </c>
      <c r="C779" s="24" t="s">
        <v>37</v>
      </c>
      <c r="D779" s="11" t="s">
        <v>265</v>
      </c>
      <c r="E779" s="25">
        <v>1</v>
      </c>
      <c r="F779" s="24" t="s">
        <v>37</v>
      </c>
      <c r="G779" s="25" t="s">
        <v>23</v>
      </c>
      <c r="H779" s="11" t="s">
        <v>24</v>
      </c>
      <c r="I779" s="11" t="s">
        <v>25</v>
      </c>
      <c r="J779" s="24" t="s">
        <v>26</v>
      </c>
      <c r="K779" s="52" t="s">
        <v>37</v>
      </c>
      <c r="L779" s="50">
        <v>46101</v>
      </c>
      <c r="M779" s="25" t="s">
        <v>37</v>
      </c>
      <c r="N779" s="11">
        <v>0</v>
      </c>
      <c r="O779" s="55">
        <f t="shared" si="19"/>
        <v>0</v>
      </c>
      <c r="P779" s="24" t="s">
        <v>73</v>
      </c>
      <c r="Q779" s="28" t="s">
        <v>37</v>
      </c>
      <c r="R779" s="28" t="s">
        <v>37</v>
      </c>
      <c r="S779" s="28" t="s">
        <v>37</v>
      </c>
      <c r="T779" s="28" t="s">
        <v>37</v>
      </c>
      <c r="U779" s="25"/>
    </row>
    <row r="780" spans="1:21" s="1" customFormat="1" ht="14.4" x14ac:dyDescent="0.3">
      <c r="A780" s="25" t="s">
        <v>906</v>
      </c>
      <c r="B780" s="25" t="s">
        <v>906</v>
      </c>
      <c r="C780" s="24" t="s">
        <v>37</v>
      </c>
      <c r="D780" s="11" t="s">
        <v>265</v>
      </c>
      <c r="E780" s="25">
        <v>1</v>
      </c>
      <c r="F780" s="24" t="s">
        <v>37</v>
      </c>
      <c r="G780" s="25" t="s">
        <v>23</v>
      </c>
      <c r="H780" s="11" t="s">
        <v>24</v>
      </c>
      <c r="I780" s="11" t="s">
        <v>25</v>
      </c>
      <c r="J780" s="24" t="s">
        <v>26</v>
      </c>
      <c r="K780" s="52" t="s">
        <v>37</v>
      </c>
      <c r="L780" s="50">
        <v>46101</v>
      </c>
      <c r="M780" s="25" t="s">
        <v>37</v>
      </c>
      <c r="N780" s="11">
        <v>0</v>
      </c>
      <c r="O780" s="55">
        <f t="shared" si="19"/>
        <v>0</v>
      </c>
      <c r="P780" s="24" t="s">
        <v>73</v>
      </c>
      <c r="Q780" s="28" t="s">
        <v>37</v>
      </c>
      <c r="R780" s="28" t="s">
        <v>37</v>
      </c>
      <c r="S780" s="28" t="s">
        <v>37</v>
      </c>
      <c r="T780" s="28" t="s">
        <v>37</v>
      </c>
      <c r="U780" s="25"/>
    </row>
    <row r="781" spans="1:21" s="1" customFormat="1" ht="39.6" x14ac:dyDescent="0.3">
      <c r="A781" s="25" t="s">
        <v>1327</v>
      </c>
      <c r="B781" s="25" t="s">
        <v>910</v>
      </c>
      <c r="C781" s="11" t="s">
        <v>375</v>
      </c>
      <c r="D781" s="11" t="s">
        <v>1326</v>
      </c>
      <c r="E781" s="11">
        <v>1</v>
      </c>
      <c r="F781" s="11" t="s">
        <v>911</v>
      </c>
      <c r="G781" s="11" t="s">
        <v>23</v>
      </c>
      <c r="H781" s="11" t="s">
        <v>24</v>
      </c>
      <c r="I781" s="93">
        <v>46051</v>
      </c>
      <c r="J781" s="24" t="s">
        <v>26</v>
      </c>
      <c r="K781" s="57">
        <v>45372</v>
      </c>
      <c r="L781" s="93">
        <v>46065</v>
      </c>
      <c r="M781" s="52" t="s">
        <v>37</v>
      </c>
      <c r="N781" s="58">
        <v>3455000</v>
      </c>
      <c r="O781" s="55">
        <f t="shared" si="19"/>
        <v>3455000</v>
      </c>
      <c r="P781" s="24" t="s">
        <v>73</v>
      </c>
      <c r="Q781" s="84" t="s">
        <v>912</v>
      </c>
      <c r="R781" s="28">
        <v>9404265151</v>
      </c>
      <c r="S781" s="28" t="s">
        <v>913</v>
      </c>
      <c r="T781" s="24"/>
      <c r="U781" s="28"/>
    </row>
    <row r="782" spans="1:21" s="1" customFormat="1" ht="39.6" x14ac:dyDescent="0.3">
      <c r="A782" s="25" t="s">
        <v>1328</v>
      </c>
      <c r="B782" s="25" t="s">
        <v>914</v>
      </c>
      <c r="C782" s="11" t="s">
        <v>375</v>
      </c>
      <c r="D782" s="11" t="s">
        <v>1326</v>
      </c>
      <c r="E782" s="11">
        <v>1</v>
      </c>
      <c r="F782" s="11" t="s">
        <v>911</v>
      </c>
      <c r="G782" s="11" t="s">
        <v>23</v>
      </c>
      <c r="H782" s="11" t="s">
        <v>24</v>
      </c>
      <c r="I782" s="11" t="s">
        <v>25</v>
      </c>
      <c r="J782" s="11" t="s">
        <v>26</v>
      </c>
      <c r="K782" s="57">
        <v>45372</v>
      </c>
      <c r="L782" s="93">
        <v>46051</v>
      </c>
      <c r="M782" s="25" t="s">
        <v>915</v>
      </c>
      <c r="N782" s="58">
        <v>3455000</v>
      </c>
      <c r="O782" s="55">
        <f t="shared" si="19"/>
        <v>3455000</v>
      </c>
      <c r="P782" s="24" t="s">
        <v>73</v>
      </c>
      <c r="Q782" s="84" t="s">
        <v>912</v>
      </c>
      <c r="R782" s="28">
        <v>9404265151</v>
      </c>
      <c r="S782" s="28" t="s">
        <v>913</v>
      </c>
      <c r="T782" s="24" t="s">
        <v>41</v>
      </c>
      <c r="U782" s="25"/>
    </row>
    <row r="783" spans="1:21" s="1" customFormat="1" ht="26.4" x14ac:dyDescent="0.3">
      <c r="A783" s="25" t="s">
        <v>984</v>
      </c>
      <c r="B783" s="25" t="s">
        <v>916</v>
      </c>
      <c r="C783" s="24" t="s">
        <v>37</v>
      </c>
      <c r="D783" s="11" t="s">
        <v>590</v>
      </c>
      <c r="E783" s="11">
        <v>1</v>
      </c>
      <c r="F783" s="11" t="s">
        <v>603</v>
      </c>
      <c r="G783" s="11" t="s">
        <v>23</v>
      </c>
      <c r="H783" s="11" t="s">
        <v>24</v>
      </c>
      <c r="I783" s="11" t="s">
        <v>25</v>
      </c>
      <c r="J783" s="11" t="s">
        <v>26</v>
      </c>
      <c r="K783" s="50">
        <v>45322</v>
      </c>
      <c r="L783" s="50">
        <v>46051</v>
      </c>
      <c r="M783" s="11" t="s">
        <v>1367</v>
      </c>
      <c r="N783" s="54">
        <v>167320</v>
      </c>
      <c r="O783" s="55">
        <f t="shared" si="19"/>
        <v>167320</v>
      </c>
      <c r="P783" s="11" t="s">
        <v>50</v>
      </c>
      <c r="Q783" s="90" t="s">
        <v>605</v>
      </c>
      <c r="R783" s="26" t="s">
        <v>606</v>
      </c>
      <c r="S783" s="26" t="s">
        <v>607</v>
      </c>
      <c r="T783" s="24" t="s">
        <v>41</v>
      </c>
      <c r="U783" s="25"/>
    </row>
    <row r="784" spans="1:21" s="1" customFormat="1" ht="26.4" x14ac:dyDescent="0.3">
      <c r="A784" s="25" t="s">
        <v>799</v>
      </c>
      <c r="B784" s="25" t="s">
        <v>1200</v>
      </c>
      <c r="C784" s="24" t="s">
        <v>37</v>
      </c>
      <c r="D784" s="11" t="s">
        <v>1222</v>
      </c>
      <c r="E784" s="11">
        <v>1</v>
      </c>
      <c r="F784" s="24" t="s">
        <v>800</v>
      </c>
      <c r="G784" s="11" t="s">
        <v>23</v>
      </c>
      <c r="H784" s="11" t="s">
        <v>408</v>
      </c>
      <c r="I784" s="11" t="s">
        <v>25</v>
      </c>
      <c r="J784" s="11" t="s">
        <v>26</v>
      </c>
      <c r="K784" s="57">
        <v>43833</v>
      </c>
      <c r="L784" s="57">
        <v>46069</v>
      </c>
      <c r="M784" s="25" t="s">
        <v>980</v>
      </c>
      <c r="N784" s="58">
        <v>3950</v>
      </c>
      <c r="O784" s="55">
        <f t="shared" si="19"/>
        <v>3950</v>
      </c>
      <c r="P784" s="24" t="s">
        <v>73</v>
      </c>
      <c r="Q784" s="79" t="s">
        <v>801</v>
      </c>
      <c r="R784" s="24">
        <v>9768944030</v>
      </c>
      <c r="S784" s="28" t="s">
        <v>802</v>
      </c>
      <c r="T784" s="28" t="s">
        <v>1144</v>
      </c>
      <c r="U784" s="43" t="s">
        <v>839</v>
      </c>
    </row>
    <row r="785" spans="1:21" s="1" customFormat="1" ht="26.4" x14ac:dyDescent="0.3">
      <c r="A785" s="25" t="s">
        <v>799</v>
      </c>
      <c r="B785" s="25" t="s">
        <v>1200</v>
      </c>
      <c r="C785" s="24" t="s">
        <v>37</v>
      </c>
      <c r="D785" s="11" t="s">
        <v>1222</v>
      </c>
      <c r="E785" s="11">
        <v>1</v>
      </c>
      <c r="F785" s="24" t="s">
        <v>800</v>
      </c>
      <c r="G785" s="11" t="s">
        <v>23</v>
      </c>
      <c r="H785" s="11" t="s">
        <v>408</v>
      </c>
      <c r="I785" s="11" t="s">
        <v>25</v>
      </c>
      <c r="J785" s="11" t="s">
        <v>26</v>
      </c>
      <c r="K785" s="57">
        <v>43833</v>
      </c>
      <c r="L785" s="57">
        <v>46069</v>
      </c>
      <c r="M785" s="25" t="s">
        <v>980</v>
      </c>
      <c r="N785" s="58">
        <v>3950</v>
      </c>
      <c r="O785" s="55">
        <f t="shared" si="19"/>
        <v>3950</v>
      </c>
      <c r="P785" s="24" t="s">
        <v>73</v>
      </c>
      <c r="Q785" s="79" t="s">
        <v>801</v>
      </c>
      <c r="R785" s="24">
        <v>9768944030</v>
      </c>
      <c r="S785" s="28" t="s">
        <v>802</v>
      </c>
      <c r="T785" s="28" t="s">
        <v>1144</v>
      </c>
      <c r="U785" s="43" t="s">
        <v>839</v>
      </c>
    </row>
    <row r="786" spans="1:21" s="1" customFormat="1" ht="26.4" x14ac:dyDescent="0.3">
      <c r="A786" s="25" t="s">
        <v>799</v>
      </c>
      <c r="B786" s="25" t="s">
        <v>1200</v>
      </c>
      <c r="C786" s="24" t="s">
        <v>37</v>
      </c>
      <c r="D786" s="11" t="s">
        <v>1222</v>
      </c>
      <c r="E786" s="11">
        <v>1</v>
      </c>
      <c r="F786" s="24" t="s">
        <v>800</v>
      </c>
      <c r="G786" s="11" t="s">
        <v>23</v>
      </c>
      <c r="H786" s="11" t="s">
        <v>408</v>
      </c>
      <c r="I786" s="11" t="s">
        <v>25</v>
      </c>
      <c r="J786" s="11" t="s">
        <v>26</v>
      </c>
      <c r="K786" s="57">
        <v>43833</v>
      </c>
      <c r="L786" s="57">
        <v>46069</v>
      </c>
      <c r="M786" s="25" t="s">
        <v>980</v>
      </c>
      <c r="N786" s="58">
        <v>3950</v>
      </c>
      <c r="O786" s="55">
        <f t="shared" ref="O786:O817" si="20">N786*E786</f>
        <v>3950</v>
      </c>
      <c r="P786" s="24" t="s">
        <v>73</v>
      </c>
      <c r="Q786" s="79" t="s">
        <v>801</v>
      </c>
      <c r="R786" s="24">
        <v>9768944030</v>
      </c>
      <c r="S786" s="28" t="s">
        <v>802</v>
      </c>
      <c r="T786" s="28" t="s">
        <v>1144</v>
      </c>
      <c r="U786" s="43" t="s">
        <v>839</v>
      </c>
    </row>
    <row r="787" spans="1:21" s="1" customFormat="1" ht="26.4" x14ac:dyDescent="0.3">
      <c r="A787" s="25" t="s">
        <v>799</v>
      </c>
      <c r="B787" s="25" t="s">
        <v>1200</v>
      </c>
      <c r="C787" s="24" t="s">
        <v>37</v>
      </c>
      <c r="D787" s="11" t="s">
        <v>1222</v>
      </c>
      <c r="E787" s="11">
        <v>1</v>
      </c>
      <c r="F787" s="24" t="s">
        <v>800</v>
      </c>
      <c r="G787" s="11" t="s">
        <v>23</v>
      </c>
      <c r="H787" s="11" t="s">
        <v>408</v>
      </c>
      <c r="I787" s="11" t="s">
        <v>25</v>
      </c>
      <c r="J787" s="11" t="s">
        <v>26</v>
      </c>
      <c r="K787" s="57">
        <v>43833</v>
      </c>
      <c r="L787" s="57">
        <v>46069</v>
      </c>
      <c r="M787" s="25" t="s">
        <v>980</v>
      </c>
      <c r="N787" s="58">
        <v>3950</v>
      </c>
      <c r="O787" s="55">
        <f t="shared" si="20"/>
        <v>3950</v>
      </c>
      <c r="P787" s="24" t="s">
        <v>73</v>
      </c>
      <c r="Q787" s="79" t="s">
        <v>801</v>
      </c>
      <c r="R787" s="24">
        <v>9768944030</v>
      </c>
      <c r="S787" s="28" t="s">
        <v>802</v>
      </c>
      <c r="T787" s="28" t="s">
        <v>1144</v>
      </c>
      <c r="U787" s="43" t="s">
        <v>839</v>
      </c>
    </row>
    <row r="788" spans="1:21" s="1" customFormat="1" ht="26.4" x14ac:dyDescent="0.3">
      <c r="A788" s="25" t="s">
        <v>799</v>
      </c>
      <c r="B788" s="25" t="s">
        <v>1200</v>
      </c>
      <c r="C788" s="24" t="s">
        <v>37</v>
      </c>
      <c r="D788" s="11" t="s">
        <v>1222</v>
      </c>
      <c r="E788" s="11">
        <v>1</v>
      </c>
      <c r="F788" s="24" t="s">
        <v>800</v>
      </c>
      <c r="G788" s="11" t="s">
        <v>23</v>
      </c>
      <c r="H788" s="11" t="s">
        <v>408</v>
      </c>
      <c r="I788" s="11" t="s">
        <v>25</v>
      </c>
      <c r="J788" s="11" t="s">
        <v>26</v>
      </c>
      <c r="K788" s="57">
        <v>43833</v>
      </c>
      <c r="L788" s="57">
        <v>46069</v>
      </c>
      <c r="M788" s="25" t="s">
        <v>980</v>
      </c>
      <c r="N788" s="58">
        <v>3950</v>
      </c>
      <c r="O788" s="55">
        <f t="shared" si="20"/>
        <v>3950</v>
      </c>
      <c r="P788" s="24" t="s">
        <v>73</v>
      </c>
      <c r="Q788" s="79" t="s">
        <v>801</v>
      </c>
      <c r="R788" s="24">
        <v>9768944030</v>
      </c>
      <c r="S788" s="28" t="s">
        <v>802</v>
      </c>
      <c r="T788" s="28" t="s">
        <v>1144</v>
      </c>
      <c r="U788" s="43" t="s">
        <v>839</v>
      </c>
    </row>
    <row r="789" spans="1:21" s="1" customFormat="1" ht="26.4" x14ac:dyDescent="0.3">
      <c r="A789" s="25" t="s">
        <v>799</v>
      </c>
      <c r="B789" s="25" t="s">
        <v>1200</v>
      </c>
      <c r="C789" s="24" t="s">
        <v>37</v>
      </c>
      <c r="D789" s="11" t="s">
        <v>1222</v>
      </c>
      <c r="E789" s="11">
        <v>1</v>
      </c>
      <c r="F789" s="24" t="s">
        <v>800</v>
      </c>
      <c r="G789" s="11" t="s">
        <v>23</v>
      </c>
      <c r="H789" s="11" t="s">
        <v>408</v>
      </c>
      <c r="I789" s="11" t="s">
        <v>25</v>
      </c>
      <c r="J789" s="11" t="s">
        <v>26</v>
      </c>
      <c r="K789" s="57">
        <v>43833</v>
      </c>
      <c r="L789" s="57">
        <v>46069</v>
      </c>
      <c r="M789" s="25" t="s">
        <v>980</v>
      </c>
      <c r="N789" s="58">
        <v>3950</v>
      </c>
      <c r="O789" s="55">
        <f t="shared" si="20"/>
        <v>3950</v>
      </c>
      <c r="P789" s="24" t="s">
        <v>73</v>
      </c>
      <c r="Q789" s="79" t="s">
        <v>801</v>
      </c>
      <c r="R789" s="24">
        <v>9768944030</v>
      </c>
      <c r="S789" s="28" t="s">
        <v>802</v>
      </c>
      <c r="T789" s="28" t="s">
        <v>1144</v>
      </c>
      <c r="U789" s="43" t="s">
        <v>839</v>
      </c>
    </row>
    <row r="790" spans="1:21" s="1" customFormat="1" ht="26.4" x14ac:dyDescent="0.3">
      <c r="A790" s="25" t="s">
        <v>799</v>
      </c>
      <c r="B790" s="25" t="s">
        <v>1200</v>
      </c>
      <c r="C790" s="24" t="s">
        <v>37</v>
      </c>
      <c r="D790" s="11" t="s">
        <v>1222</v>
      </c>
      <c r="E790" s="11">
        <v>1</v>
      </c>
      <c r="F790" s="24" t="s">
        <v>800</v>
      </c>
      <c r="G790" s="11" t="s">
        <v>23</v>
      </c>
      <c r="H790" s="11" t="s">
        <v>408</v>
      </c>
      <c r="I790" s="11" t="s">
        <v>25</v>
      </c>
      <c r="J790" s="11" t="s">
        <v>26</v>
      </c>
      <c r="K790" s="57">
        <v>43833</v>
      </c>
      <c r="L790" s="57">
        <v>46069</v>
      </c>
      <c r="M790" s="25" t="s">
        <v>980</v>
      </c>
      <c r="N790" s="58">
        <v>3950</v>
      </c>
      <c r="O790" s="55">
        <f t="shared" si="20"/>
        <v>3950</v>
      </c>
      <c r="P790" s="24" t="s">
        <v>73</v>
      </c>
      <c r="Q790" s="79" t="s">
        <v>801</v>
      </c>
      <c r="R790" s="24">
        <v>9768944030</v>
      </c>
      <c r="S790" s="28" t="s">
        <v>802</v>
      </c>
      <c r="T790" s="28" t="s">
        <v>1144</v>
      </c>
      <c r="U790" s="43" t="s">
        <v>839</v>
      </c>
    </row>
    <row r="791" spans="1:21" s="1" customFormat="1" ht="26.4" x14ac:dyDescent="0.3">
      <c r="A791" s="24" t="s">
        <v>799</v>
      </c>
      <c r="B791" s="24" t="s">
        <v>1200</v>
      </c>
      <c r="C791" s="24" t="s">
        <v>37</v>
      </c>
      <c r="D791" s="11" t="s">
        <v>1412</v>
      </c>
      <c r="E791" s="11">
        <v>1</v>
      </c>
      <c r="F791" s="24" t="s">
        <v>800</v>
      </c>
      <c r="G791" s="11" t="s">
        <v>23</v>
      </c>
      <c r="H791" s="11" t="s">
        <v>408</v>
      </c>
      <c r="I791" s="11" t="s">
        <v>25</v>
      </c>
      <c r="J791" s="11" t="s">
        <v>26</v>
      </c>
      <c r="K791" s="57">
        <v>43833</v>
      </c>
      <c r="L791" s="57">
        <v>46069</v>
      </c>
      <c r="M791" s="25" t="s">
        <v>980</v>
      </c>
      <c r="N791" s="58">
        <v>3950</v>
      </c>
      <c r="O791" s="55">
        <f t="shared" si="20"/>
        <v>3950</v>
      </c>
      <c r="P791" s="24" t="s">
        <v>73</v>
      </c>
      <c r="Q791" s="79" t="s">
        <v>801</v>
      </c>
      <c r="R791" s="24">
        <v>9768944030</v>
      </c>
      <c r="S791" s="28" t="s">
        <v>802</v>
      </c>
      <c r="T791" s="28" t="s">
        <v>1144</v>
      </c>
      <c r="U791" s="43" t="s">
        <v>839</v>
      </c>
    </row>
    <row r="792" spans="1:21" s="1" customFormat="1" ht="26.4" x14ac:dyDescent="0.3">
      <c r="A792" s="24" t="s">
        <v>799</v>
      </c>
      <c r="B792" s="24" t="s">
        <v>1200</v>
      </c>
      <c r="C792" s="24" t="s">
        <v>37</v>
      </c>
      <c r="D792" s="11" t="s">
        <v>930</v>
      </c>
      <c r="E792" s="11">
        <v>1</v>
      </c>
      <c r="F792" s="24" t="s">
        <v>800</v>
      </c>
      <c r="G792" s="11" t="s">
        <v>23</v>
      </c>
      <c r="H792" s="11" t="s">
        <v>408</v>
      </c>
      <c r="I792" s="11" t="s">
        <v>25</v>
      </c>
      <c r="J792" s="11" t="s">
        <v>26</v>
      </c>
      <c r="K792" s="57">
        <v>43833</v>
      </c>
      <c r="L792" s="57">
        <v>46069</v>
      </c>
      <c r="M792" s="25" t="s">
        <v>980</v>
      </c>
      <c r="N792" s="58">
        <v>3950</v>
      </c>
      <c r="O792" s="55">
        <f t="shared" si="20"/>
        <v>3950</v>
      </c>
      <c r="P792" s="24" t="s">
        <v>73</v>
      </c>
      <c r="Q792" s="79" t="s">
        <v>801</v>
      </c>
      <c r="R792" s="24">
        <v>9768944030</v>
      </c>
      <c r="S792" s="28" t="s">
        <v>802</v>
      </c>
      <c r="T792" s="28" t="s">
        <v>1144</v>
      </c>
      <c r="U792" s="43" t="s">
        <v>839</v>
      </c>
    </row>
    <row r="793" spans="1:21" s="1" customFormat="1" ht="26.4" x14ac:dyDescent="0.3">
      <c r="A793" s="24" t="s">
        <v>799</v>
      </c>
      <c r="B793" s="24" t="s">
        <v>1200</v>
      </c>
      <c r="C793" s="24" t="s">
        <v>37</v>
      </c>
      <c r="D793" s="11" t="s">
        <v>930</v>
      </c>
      <c r="E793" s="11">
        <v>1</v>
      </c>
      <c r="F793" s="24" t="s">
        <v>800</v>
      </c>
      <c r="G793" s="11" t="s">
        <v>23</v>
      </c>
      <c r="H793" s="11" t="s">
        <v>408</v>
      </c>
      <c r="I793" s="11" t="s">
        <v>25</v>
      </c>
      <c r="J793" s="11" t="s">
        <v>26</v>
      </c>
      <c r="K793" s="57">
        <v>43833</v>
      </c>
      <c r="L793" s="57">
        <v>46069</v>
      </c>
      <c r="M793" s="25" t="s">
        <v>980</v>
      </c>
      <c r="N793" s="58">
        <v>3950</v>
      </c>
      <c r="O793" s="55">
        <f t="shared" si="20"/>
        <v>3950</v>
      </c>
      <c r="P793" s="24" t="s">
        <v>73</v>
      </c>
      <c r="Q793" s="79" t="s">
        <v>801</v>
      </c>
      <c r="R793" s="24">
        <v>9768944030</v>
      </c>
      <c r="S793" s="28" t="s">
        <v>802</v>
      </c>
      <c r="T793" s="28" t="s">
        <v>1144</v>
      </c>
      <c r="U793" s="43" t="s">
        <v>839</v>
      </c>
    </row>
    <row r="794" spans="1:21" s="1" customFormat="1" ht="26.4" x14ac:dyDescent="0.3">
      <c r="A794" s="24" t="s">
        <v>799</v>
      </c>
      <c r="B794" s="24" t="s">
        <v>1200</v>
      </c>
      <c r="C794" s="24" t="s">
        <v>37</v>
      </c>
      <c r="D794" s="11" t="s">
        <v>930</v>
      </c>
      <c r="E794" s="11">
        <v>1</v>
      </c>
      <c r="F794" s="24" t="s">
        <v>800</v>
      </c>
      <c r="G794" s="11" t="s">
        <v>23</v>
      </c>
      <c r="H794" s="11" t="s">
        <v>408</v>
      </c>
      <c r="I794" s="11" t="s">
        <v>25</v>
      </c>
      <c r="J794" s="11" t="s">
        <v>26</v>
      </c>
      <c r="K794" s="57">
        <v>43833</v>
      </c>
      <c r="L794" s="57">
        <v>46069</v>
      </c>
      <c r="M794" s="25" t="s">
        <v>980</v>
      </c>
      <c r="N794" s="58">
        <v>3950</v>
      </c>
      <c r="O794" s="55">
        <f t="shared" si="20"/>
        <v>3950</v>
      </c>
      <c r="P794" s="24" t="s">
        <v>73</v>
      </c>
      <c r="Q794" s="79" t="s">
        <v>801</v>
      </c>
      <c r="R794" s="24">
        <v>9768944030</v>
      </c>
      <c r="S794" s="28" t="s">
        <v>802</v>
      </c>
      <c r="T794" s="28" t="s">
        <v>1144</v>
      </c>
      <c r="U794" s="43" t="s">
        <v>839</v>
      </c>
    </row>
    <row r="795" spans="1:21" s="1" customFormat="1" ht="26.4" x14ac:dyDescent="0.3">
      <c r="A795" s="24" t="s">
        <v>799</v>
      </c>
      <c r="B795" s="24" t="s">
        <v>1200</v>
      </c>
      <c r="C795" s="24" t="s">
        <v>37</v>
      </c>
      <c r="D795" s="11" t="s">
        <v>930</v>
      </c>
      <c r="E795" s="11">
        <v>1</v>
      </c>
      <c r="F795" s="24" t="s">
        <v>800</v>
      </c>
      <c r="G795" s="11" t="s">
        <v>23</v>
      </c>
      <c r="H795" s="11" t="s">
        <v>408</v>
      </c>
      <c r="I795" s="11" t="s">
        <v>25</v>
      </c>
      <c r="J795" s="11" t="s">
        <v>26</v>
      </c>
      <c r="K795" s="57">
        <v>43833</v>
      </c>
      <c r="L795" s="57">
        <v>46069</v>
      </c>
      <c r="M795" s="25" t="s">
        <v>980</v>
      </c>
      <c r="N795" s="58">
        <v>3950</v>
      </c>
      <c r="O795" s="55">
        <f t="shared" si="20"/>
        <v>3950</v>
      </c>
      <c r="P795" s="24" t="s">
        <v>73</v>
      </c>
      <c r="Q795" s="79" t="s">
        <v>801</v>
      </c>
      <c r="R795" s="24">
        <v>9768944030</v>
      </c>
      <c r="S795" s="28" t="s">
        <v>802</v>
      </c>
      <c r="T795" s="28" t="s">
        <v>1144</v>
      </c>
      <c r="U795" s="43" t="s">
        <v>839</v>
      </c>
    </row>
    <row r="796" spans="1:21" s="1" customFormat="1" ht="26.4" x14ac:dyDescent="0.3">
      <c r="A796" s="24" t="s">
        <v>799</v>
      </c>
      <c r="B796" s="21" t="s">
        <v>1200</v>
      </c>
      <c r="C796" s="21" t="s">
        <v>37</v>
      </c>
      <c r="D796" s="12" t="s">
        <v>265</v>
      </c>
      <c r="E796" s="12">
        <v>1</v>
      </c>
      <c r="F796" s="24" t="s">
        <v>800</v>
      </c>
      <c r="G796" s="12" t="s">
        <v>23</v>
      </c>
      <c r="H796" s="12" t="s">
        <v>408</v>
      </c>
      <c r="I796" s="12" t="s">
        <v>25</v>
      </c>
      <c r="J796" s="12" t="s">
        <v>72</v>
      </c>
      <c r="K796" s="27">
        <v>43833</v>
      </c>
      <c r="L796" s="27">
        <v>46069</v>
      </c>
      <c r="M796" s="17" t="s">
        <v>980</v>
      </c>
      <c r="N796" s="40">
        <v>3950</v>
      </c>
      <c r="O796" s="14">
        <f t="shared" si="20"/>
        <v>3950</v>
      </c>
      <c r="P796" s="21" t="s">
        <v>73</v>
      </c>
      <c r="Q796" s="35" t="s">
        <v>801</v>
      </c>
      <c r="R796" s="21">
        <v>9768944030</v>
      </c>
      <c r="S796" s="30" t="s">
        <v>802</v>
      </c>
      <c r="T796" s="30" t="s">
        <v>1144</v>
      </c>
      <c r="U796" s="7" t="s">
        <v>839</v>
      </c>
    </row>
    <row r="797" spans="1:21" s="1" customFormat="1" ht="26.4" x14ac:dyDescent="0.3">
      <c r="A797" s="25" t="s">
        <v>799</v>
      </c>
      <c r="B797" s="25" t="s">
        <v>1200</v>
      </c>
      <c r="C797" s="24" t="s">
        <v>37</v>
      </c>
      <c r="D797" s="11" t="s">
        <v>265</v>
      </c>
      <c r="E797" s="11">
        <v>1</v>
      </c>
      <c r="F797" s="24" t="s">
        <v>800</v>
      </c>
      <c r="G797" s="11" t="s">
        <v>23</v>
      </c>
      <c r="H797" s="11" t="s">
        <v>408</v>
      </c>
      <c r="I797" s="11" t="s">
        <v>25</v>
      </c>
      <c r="J797" s="11" t="s">
        <v>26</v>
      </c>
      <c r="K797" s="57">
        <v>43833</v>
      </c>
      <c r="L797" s="57">
        <v>46069</v>
      </c>
      <c r="M797" s="25" t="s">
        <v>980</v>
      </c>
      <c r="N797" s="58">
        <v>3950</v>
      </c>
      <c r="O797" s="55">
        <f t="shared" si="20"/>
        <v>3950</v>
      </c>
      <c r="P797" s="24" t="s">
        <v>73</v>
      </c>
      <c r="Q797" s="79" t="s">
        <v>801</v>
      </c>
      <c r="R797" s="24">
        <v>9768944030</v>
      </c>
      <c r="S797" s="28" t="s">
        <v>802</v>
      </c>
      <c r="T797" s="28" t="s">
        <v>1144</v>
      </c>
      <c r="U797" s="43" t="s">
        <v>839</v>
      </c>
    </row>
    <row r="798" spans="1:21" s="1" customFormat="1" ht="26.4" x14ac:dyDescent="0.3">
      <c r="A798" s="25" t="s">
        <v>799</v>
      </c>
      <c r="B798" s="25" t="s">
        <v>1200</v>
      </c>
      <c r="C798" s="24" t="s">
        <v>37</v>
      </c>
      <c r="D798" s="11" t="s">
        <v>265</v>
      </c>
      <c r="E798" s="11">
        <v>1</v>
      </c>
      <c r="F798" s="24" t="s">
        <v>800</v>
      </c>
      <c r="G798" s="11" t="s">
        <v>23</v>
      </c>
      <c r="H798" s="11" t="s">
        <v>408</v>
      </c>
      <c r="I798" s="11" t="s">
        <v>25</v>
      </c>
      <c r="J798" s="11" t="s">
        <v>26</v>
      </c>
      <c r="K798" s="57">
        <v>43833</v>
      </c>
      <c r="L798" s="57">
        <v>46069</v>
      </c>
      <c r="M798" s="25" t="s">
        <v>980</v>
      </c>
      <c r="N798" s="58">
        <v>3950</v>
      </c>
      <c r="O798" s="55">
        <f t="shared" si="20"/>
        <v>3950</v>
      </c>
      <c r="P798" s="24" t="s">
        <v>73</v>
      </c>
      <c r="Q798" s="79" t="s">
        <v>801</v>
      </c>
      <c r="R798" s="24">
        <v>9768944030</v>
      </c>
      <c r="S798" s="28" t="s">
        <v>802</v>
      </c>
      <c r="T798" s="28" t="s">
        <v>1144</v>
      </c>
      <c r="U798" s="43" t="s">
        <v>839</v>
      </c>
    </row>
    <row r="799" spans="1:21" s="1" customFormat="1" ht="26.4" x14ac:dyDescent="0.3">
      <c r="A799" s="25" t="s">
        <v>799</v>
      </c>
      <c r="B799" s="25" t="s">
        <v>1200</v>
      </c>
      <c r="C799" s="24" t="s">
        <v>37</v>
      </c>
      <c r="D799" s="11" t="s">
        <v>265</v>
      </c>
      <c r="E799" s="11">
        <v>1</v>
      </c>
      <c r="F799" s="24" t="s">
        <v>800</v>
      </c>
      <c r="G799" s="11" t="s">
        <v>23</v>
      </c>
      <c r="H799" s="11" t="s">
        <v>408</v>
      </c>
      <c r="I799" s="11" t="s">
        <v>25</v>
      </c>
      <c r="J799" s="11" t="s">
        <v>26</v>
      </c>
      <c r="K799" s="57">
        <v>43833</v>
      </c>
      <c r="L799" s="57">
        <v>46069</v>
      </c>
      <c r="M799" s="25" t="s">
        <v>980</v>
      </c>
      <c r="N799" s="58">
        <v>3950</v>
      </c>
      <c r="O799" s="55">
        <f t="shared" si="20"/>
        <v>3950</v>
      </c>
      <c r="P799" s="24" t="s">
        <v>73</v>
      </c>
      <c r="Q799" s="79" t="s">
        <v>801</v>
      </c>
      <c r="R799" s="24">
        <v>9768944030</v>
      </c>
      <c r="S799" s="28" t="s">
        <v>802</v>
      </c>
      <c r="T799" s="28" t="s">
        <v>1144</v>
      </c>
      <c r="U799" s="43" t="s">
        <v>839</v>
      </c>
    </row>
    <row r="800" spans="1:21" s="1" customFormat="1" ht="26.4" x14ac:dyDescent="0.3">
      <c r="A800" s="25" t="s">
        <v>799</v>
      </c>
      <c r="B800" s="25" t="s">
        <v>1200</v>
      </c>
      <c r="C800" s="24" t="s">
        <v>37</v>
      </c>
      <c r="D800" s="11" t="s">
        <v>265</v>
      </c>
      <c r="E800" s="11">
        <v>1</v>
      </c>
      <c r="F800" s="24" t="s">
        <v>800</v>
      </c>
      <c r="G800" s="11" t="s">
        <v>23</v>
      </c>
      <c r="H800" s="11" t="s">
        <v>408</v>
      </c>
      <c r="I800" s="11" t="s">
        <v>25</v>
      </c>
      <c r="J800" s="11" t="s">
        <v>26</v>
      </c>
      <c r="K800" s="57">
        <v>43833</v>
      </c>
      <c r="L800" s="57">
        <v>46069</v>
      </c>
      <c r="M800" s="25" t="s">
        <v>980</v>
      </c>
      <c r="N800" s="58">
        <v>3950</v>
      </c>
      <c r="O800" s="55">
        <f t="shared" si="20"/>
        <v>3950</v>
      </c>
      <c r="P800" s="24" t="s">
        <v>73</v>
      </c>
      <c r="Q800" s="79" t="s">
        <v>801</v>
      </c>
      <c r="R800" s="24">
        <v>9768944030</v>
      </c>
      <c r="S800" s="28" t="s">
        <v>802</v>
      </c>
      <c r="T800" s="28" t="s">
        <v>1144</v>
      </c>
      <c r="U800" s="43" t="s">
        <v>839</v>
      </c>
    </row>
    <row r="801" spans="1:21" s="1" customFormat="1" ht="26.4" x14ac:dyDescent="0.3">
      <c r="A801" s="25" t="s">
        <v>799</v>
      </c>
      <c r="B801" s="24" t="s">
        <v>1200</v>
      </c>
      <c r="C801" s="24" t="s">
        <v>37</v>
      </c>
      <c r="D801" s="11" t="s">
        <v>931</v>
      </c>
      <c r="E801" s="11">
        <v>1</v>
      </c>
      <c r="F801" s="24" t="s">
        <v>800</v>
      </c>
      <c r="G801" s="11" t="s">
        <v>23</v>
      </c>
      <c r="H801" s="11" t="s">
        <v>408</v>
      </c>
      <c r="I801" s="11" t="s">
        <v>25</v>
      </c>
      <c r="J801" s="11" t="s">
        <v>26</v>
      </c>
      <c r="K801" s="57">
        <v>43833</v>
      </c>
      <c r="L801" s="57">
        <v>46069</v>
      </c>
      <c r="M801" s="25" t="s">
        <v>980</v>
      </c>
      <c r="N801" s="58">
        <v>3950</v>
      </c>
      <c r="O801" s="55">
        <f t="shared" si="20"/>
        <v>3950</v>
      </c>
      <c r="P801" s="24" t="s">
        <v>73</v>
      </c>
      <c r="Q801" s="79" t="s">
        <v>801</v>
      </c>
      <c r="R801" s="24">
        <v>9768944030</v>
      </c>
      <c r="S801" s="28" t="s">
        <v>802</v>
      </c>
      <c r="T801" s="28" t="s">
        <v>1144</v>
      </c>
      <c r="U801" s="43"/>
    </row>
    <row r="802" spans="1:21" s="1" customFormat="1" ht="26.4" x14ac:dyDescent="0.3">
      <c r="A802" s="24" t="s">
        <v>799</v>
      </c>
      <c r="B802" s="24" t="s">
        <v>1200</v>
      </c>
      <c r="C802" s="24" t="s">
        <v>37</v>
      </c>
      <c r="D802" s="11" t="s">
        <v>931</v>
      </c>
      <c r="E802" s="11">
        <v>1</v>
      </c>
      <c r="F802" s="24" t="s">
        <v>800</v>
      </c>
      <c r="G802" s="11" t="s">
        <v>23</v>
      </c>
      <c r="H802" s="11" t="s">
        <v>408</v>
      </c>
      <c r="I802" s="11" t="s">
        <v>25</v>
      </c>
      <c r="J802" s="11" t="s">
        <v>26</v>
      </c>
      <c r="K802" s="57">
        <v>43833</v>
      </c>
      <c r="L802" s="57">
        <v>46069</v>
      </c>
      <c r="M802" s="25" t="s">
        <v>980</v>
      </c>
      <c r="N802" s="58">
        <v>3950</v>
      </c>
      <c r="O802" s="55">
        <f t="shared" si="20"/>
        <v>3950</v>
      </c>
      <c r="P802" s="24" t="s">
        <v>73</v>
      </c>
      <c r="Q802" s="79" t="s">
        <v>801</v>
      </c>
      <c r="R802" s="24">
        <v>9768944030</v>
      </c>
      <c r="S802" s="28" t="s">
        <v>802</v>
      </c>
      <c r="T802" s="28" t="s">
        <v>1144</v>
      </c>
      <c r="U802" s="43" t="s">
        <v>839</v>
      </c>
    </row>
    <row r="803" spans="1:21" s="1" customFormat="1" ht="26.4" x14ac:dyDescent="0.3">
      <c r="A803" s="24" t="s">
        <v>799</v>
      </c>
      <c r="B803" s="24" t="s">
        <v>1200</v>
      </c>
      <c r="C803" s="24" t="s">
        <v>37</v>
      </c>
      <c r="D803" s="11" t="s">
        <v>931</v>
      </c>
      <c r="E803" s="11">
        <v>1</v>
      </c>
      <c r="F803" s="24" t="s">
        <v>800</v>
      </c>
      <c r="G803" s="11" t="s">
        <v>23</v>
      </c>
      <c r="H803" s="11" t="s">
        <v>408</v>
      </c>
      <c r="I803" s="11" t="s">
        <v>25</v>
      </c>
      <c r="J803" s="11" t="s">
        <v>26</v>
      </c>
      <c r="K803" s="57">
        <v>43833</v>
      </c>
      <c r="L803" s="57">
        <v>46069</v>
      </c>
      <c r="M803" s="25" t="s">
        <v>980</v>
      </c>
      <c r="N803" s="58">
        <v>3950</v>
      </c>
      <c r="O803" s="55">
        <f t="shared" si="20"/>
        <v>3950</v>
      </c>
      <c r="P803" s="24" t="s">
        <v>73</v>
      </c>
      <c r="Q803" s="79" t="s">
        <v>801</v>
      </c>
      <c r="R803" s="24">
        <v>9768944030</v>
      </c>
      <c r="S803" s="28" t="s">
        <v>802</v>
      </c>
      <c r="T803" s="28" t="s">
        <v>1144</v>
      </c>
      <c r="U803" s="43" t="s">
        <v>839</v>
      </c>
    </row>
    <row r="804" spans="1:21" s="1" customFormat="1" ht="26.4" x14ac:dyDescent="0.3">
      <c r="A804" s="24" t="s">
        <v>799</v>
      </c>
      <c r="B804" s="24" t="s">
        <v>1200</v>
      </c>
      <c r="C804" s="24" t="s">
        <v>37</v>
      </c>
      <c r="D804" s="11" t="s">
        <v>932</v>
      </c>
      <c r="E804" s="11">
        <v>1</v>
      </c>
      <c r="F804" s="24" t="s">
        <v>800</v>
      </c>
      <c r="G804" s="11" t="s">
        <v>23</v>
      </c>
      <c r="H804" s="11" t="s">
        <v>408</v>
      </c>
      <c r="I804" s="11" t="s">
        <v>25</v>
      </c>
      <c r="J804" s="11" t="s">
        <v>26</v>
      </c>
      <c r="K804" s="57">
        <v>43833</v>
      </c>
      <c r="L804" s="57">
        <v>46069</v>
      </c>
      <c r="M804" s="25" t="s">
        <v>980</v>
      </c>
      <c r="N804" s="58">
        <v>3950</v>
      </c>
      <c r="O804" s="55">
        <f t="shared" si="20"/>
        <v>3950</v>
      </c>
      <c r="P804" s="24" t="s">
        <v>73</v>
      </c>
      <c r="Q804" s="79" t="s">
        <v>801</v>
      </c>
      <c r="R804" s="24">
        <v>9768944030</v>
      </c>
      <c r="S804" s="28" t="s">
        <v>802</v>
      </c>
      <c r="T804" s="28" t="s">
        <v>1144</v>
      </c>
      <c r="U804" s="43" t="s">
        <v>839</v>
      </c>
    </row>
    <row r="805" spans="1:21" s="1" customFormat="1" ht="39.6" x14ac:dyDescent="0.3">
      <c r="A805" s="28" t="s">
        <v>934</v>
      </c>
      <c r="B805" s="30" t="s">
        <v>935</v>
      </c>
      <c r="C805" s="20" t="s">
        <v>37</v>
      </c>
      <c r="D805" s="12" t="s">
        <v>308</v>
      </c>
      <c r="E805" s="30">
        <v>1</v>
      </c>
      <c r="F805" s="28" t="s">
        <v>513</v>
      </c>
      <c r="G805" s="30" t="s">
        <v>23</v>
      </c>
      <c r="H805" s="12" t="s">
        <v>24</v>
      </c>
      <c r="I805" s="12" t="s">
        <v>25</v>
      </c>
      <c r="J805" s="12" t="s">
        <v>72</v>
      </c>
      <c r="K805" s="29">
        <v>45068</v>
      </c>
      <c r="L805" s="29">
        <v>46022</v>
      </c>
      <c r="M805" s="30" t="s">
        <v>936</v>
      </c>
      <c r="N805" s="30">
        <f t="shared" ref="N805:N814" si="21">7500+1350</f>
        <v>8850</v>
      </c>
      <c r="O805" s="14">
        <f t="shared" si="20"/>
        <v>8850</v>
      </c>
      <c r="P805" s="30" t="s">
        <v>50</v>
      </c>
      <c r="Q805" s="19" t="s">
        <v>409</v>
      </c>
      <c r="R805" s="20">
        <v>9930806008</v>
      </c>
      <c r="S805" s="20" t="s">
        <v>937</v>
      </c>
      <c r="T805" s="8" t="s">
        <v>41</v>
      </c>
      <c r="U805" s="7" t="s">
        <v>934</v>
      </c>
    </row>
    <row r="806" spans="1:21" s="1" customFormat="1" ht="39.6" x14ac:dyDescent="0.3">
      <c r="A806" s="28" t="s">
        <v>934</v>
      </c>
      <c r="B806" s="30" t="s">
        <v>935</v>
      </c>
      <c r="C806" s="20" t="s">
        <v>37</v>
      </c>
      <c r="D806" s="12" t="s">
        <v>308</v>
      </c>
      <c r="E806" s="30">
        <v>1</v>
      </c>
      <c r="F806" s="28" t="s">
        <v>513</v>
      </c>
      <c r="G806" s="30" t="s">
        <v>23</v>
      </c>
      <c r="H806" s="12" t="s">
        <v>24</v>
      </c>
      <c r="I806" s="12" t="s">
        <v>25</v>
      </c>
      <c r="J806" s="12" t="s">
        <v>72</v>
      </c>
      <c r="K806" s="29">
        <v>45068</v>
      </c>
      <c r="L806" s="29">
        <v>46022</v>
      </c>
      <c r="M806" s="30" t="s">
        <v>936</v>
      </c>
      <c r="N806" s="30">
        <f t="shared" si="21"/>
        <v>8850</v>
      </c>
      <c r="O806" s="14">
        <f t="shared" si="20"/>
        <v>8850</v>
      </c>
      <c r="P806" s="30" t="s">
        <v>50</v>
      </c>
      <c r="Q806" s="19" t="s">
        <v>409</v>
      </c>
      <c r="R806" s="20">
        <v>9930806008</v>
      </c>
      <c r="S806" s="20" t="s">
        <v>937</v>
      </c>
      <c r="T806" s="8" t="s">
        <v>41</v>
      </c>
      <c r="U806" s="7" t="s">
        <v>934</v>
      </c>
    </row>
    <row r="807" spans="1:21" s="1" customFormat="1" ht="39.6" x14ac:dyDescent="0.3">
      <c r="A807" s="28" t="s">
        <v>934</v>
      </c>
      <c r="B807" s="30" t="s">
        <v>935</v>
      </c>
      <c r="C807" s="20" t="s">
        <v>37</v>
      </c>
      <c r="D807" s="12" t="s">
        <v>308</v>
      </c>
      <c r="E807" s="30">
        <v>1</v>
      </c>
      <c r="F807" s="28" t="s">
        <v>513</v>
      </c>
      <c r="G807" s="30" t="s">
        <v>23</v>
      </c>
      <c r="H807" s="12" t="s">
        <v>24</v>
      </c>
      <c r="I807" s="12" t="s">
        <v>25</v>
      </c>
      <c r="J807" s="12" t="s">
        <v>72</v>
      </c>
      <c r="K807" s="29">
        <v>45068</v>
      </c>
      <c r="L807" s="29">
        <v>46022</v>
      </c>
      <c r="M807" s="30" t="s">
        <v>936</v>
      </c>
      <c r="N807" s="30">
        <f t="shared" si="21"/>
        <v>8850</v>
      </c>
      <c r="O807" s="14">
        <f t="shared" si="20"/>
        <v>8850</v>
      </c>
      <c r="P807" s="30" t="s">
        <v>50</v>
      </c>
      <c r="Q807" s="19" t="s">
        <v>409</v>
      </c>
      <c r="R807" s="20">
        <v>9930806008</v>
      </c>
      <c r="S807" s="20" t="s">
        <v>937</v>
      </c>
      <c r="T807" s="8" t="s">
        <v>41</v>
      </c>
      <c r="U807" s="7" t="s">
        <v>934</v>
      </c>
    </row>
    <row r="808" spans="1:21" s="1" customFormat="1" ht="39.6" x14ac:dyDescent="0.3">
      <c r="A808" s="28" t="s">
        <v>934</v>
      </c>
      <c r="B808" s="30" t="s">
        <v>935</v>
      </c>
      <c r="C808" s="20" t="s">
        <v>37</v>
      </c>
      <c r="D808" s="12" t="s">
        <v>308</v>
      </c>
      <c r="E808" s="30">
        <v>1</v>
      </c>
      <c r="F808" s="28" t="s">
        <v>513</v>
      </c>
      <c r="G808" s="30" t="s">
        <v>23</v>
      </c>
      <c r="H808" s="12" t="s">
        <v>24</v>
      </c>
      <c r="I808" s="12" t="s">
        <v>25</v>
      </c>
      <c r="J808" s="12" t="s">
        <v>72</v>
      </c>
      <c r="K808" s="29">
        <v>45068</v>
      </c>
      <c r="L808" s="29">
        <v>46022</v>
      </c>
      <c r="M808" s="30" t="s">
        <v>936</v>
      </c>
      <c r="N808" s="30">
        <f t="shared" si="21"/>
        <v>8850</v>
      </c>
      <c r="O808" s="14">
        <f t="shared" si="20"/>
        <v>8850</v>
      </c>
      <c r="P808" s="30" t="s">
        <v>50</v>
      </c>
      <c r="Q808" s="19" t="s">
        <v>409</v>
      </c>
      <c r="R808" s="20">
        <v>9930806008</v>
      </c>
      <c r="S808" s="20" t="s">
        <v>937</v>
      </c>
      <c r="T808" s="8" t="s">
        <v>41</v>
      </c>
      <c r="U808" s="7" t="s">
        <v>934</v>
      </c>
    </row>
    <row r="809" spans="1:21" s="1" customFormat="1" ht="39.6" x14ac:dyDescent="0.3">
      <c r="A809" s="28" t="s">
        <v>934</v>
      </c>
      <c r="B809" s="30" t="s">
        <v>935</v>
      </c>
      <c r="C809" s="20" t="s">
        <v>37</v>
      </c>
      <c r="D809" s="12" t="s">
        <v>308</v>
      </c>
      <c r="E809" s="30">
        <v>1</v>
      </c>
      <c r="F809" s="28" t="s">
        <v>513</v>
      </c>
      <c r="G809" s="30" t="s">
        <v>23</v>
      </c>
      <c r="H809" s="12" t="s">
        <v>24</v>
      </c>
      <c r="I809" s="12" t="s">
        <v>25</v>
      </c>
      <c r="J809" s="12" t="s">
        <v>72</v>
      </c>
      <c r="K809" s="29">
        <v>45068</v>
      </c>
      <c r="L809" s="29">
        <v>46022</v>
      </c>
      <c r="M809" s="30" t="s">
        <v>936</v>
      </c>
      <c r="N809" s="30">
        <f t="shared" si="21"/>
        <v>8850</v>
      </c>
      <c r="O809" s="14">
        <f t="shared" si="20"/>
        <v>8850</v>
      </c>
      <c r="P809" s="30" t="s">
        <v>50</v>
      </c>
      <c r="Q809" s="19" t="s">
        <v>409</v>
      </c>
      <c r="R809" s="20">
        <v>9930806008</v>
      </c>
      <c r="S809" s="20" t="s">
        <v>937</v>
      </c>
      <c r="T809" s="8" t="s">
        <v>41</v>
      </c>
      <c r="U809" s="7" t="s">
        <v>934</v>
      </c>
    </row>
    <row r="810" spans="1:21" s="1" customFormat="1" ht="39.6" x14ac:dyDescent="0.3">
      <c r="A810" s="28" t="s">
        <v>934</v>
      </c>
      <c r="B810" s="30" t="s">
        <v>935</v>
      </c>
      <c r="C810" s="20" t="s">
        <v>37</v>
      </c>
      <c r="D810" s="12" t="s">
        <v>308</v>
      </c>
      <c r="E810" s="30">
        <v>1</v>
      </c>
      <c r="F810" s="28" t="s">
        <v>513</v>
      </c>
      <c r="G810" s="30" t="s">
        <v>23</v>
      </c>
      <c r="H810" s="12" t="s">
        <v>24</v>
      </c>
      <c r="I810" s="12" t="s">
        <v>25</v>
      </c>
      <c r="J810" s="12" t="s">
        <v>72</v>
      </c>
      <c r="K810" s="29">
        <v>45068</v>
      </c>
      <c r="L810" s="29">
        <v>46022</v>
      </c>
      <c r="M810" s="30" t="s">
        <v>936</v>
      </c>
      <c r="N810" s="30">
        <f t="shared" si="21"/>
        <v>8850</v>
      </c>
      <c r="O810" s="14">
        <f t="shared" si="20"/>
        <v>8850</v>
      </c>
      <c r="P810" s="30" t="s">
        <v>50</v>
      </c>
      <c r="Q810" s="19" t="s">
        <v>409</v>
      </c>
      <c r="R810" s="20">
        <v>9930806008</v>
      </c>
      <c r="S810" s="20" t="s">
        <v>937</v>
      </c>
      <c r="T810" s="8" t="s">
        <v>41</v>
      </c>
      <c r="U810" s="7" t="s">
        <v>934</v>
      </c>
    </row>
    <row r="811" spans="1:21" s="1" customFormat="1" ht="39.6" x14ac:dyDescent="0.3">
      <c r="A811" s="28" t="s">
        <v>934</v>
      </c>
      <c r="B811" s="30" t="s">
        <v>935</v>
      </c>
      <c r="C811" s="20" t="s">
        <v>37</v>
      </c>
      <c r="D811" s="12" t="s">
        <v>308</v>
      </c>
      <c r="E811" s="30">
        <v>1</v>
      </c>
      <c r="F811" s="28" t="s">
        <v>513</v>
      </c>
      <c r="G811" s="30" t="s">
        <v>23</v>
      </c>
      <c r="H811" s="12" t="s">
        <v>24</v>
      </c>
      <c r="I811" s="12" t="s">
        <v>25</v>
      </c>
      <c r="J811" s="12" t="s">
        <v>72</v>
      </c>
      <c r="K811" s="29">
        <v>45068</v>
      </c>
      <c r="L811" s="29">
        <v>46022</v>
      </c>
      <c r="M811" s="30" t="s">
        <v>936</v>
      </c>
      <c r="N811" s="30">
        <f t="shared" si="21"/>
        <v>8850</v>
      </c>
      <c r="O811" s="14">
        <f t="shared" si="20"/>
        <v>8850</v>
      </c>
      <c r="P811" s="30" t="s">
        <v>50</v>
      </c>
      <c r="Q811" s="19" t="s">
        <v>409</v>
      </c>
      <c r="R811" s="20">
        <v>9930806008</v>
      </c>
      <c r="S811" s="20" t="s">
        <v>937</v>
      </c>
      <c r="T811" s="8" t="s">
        <v>41</v>
      </c>
      <c r="U811" s="7" t="s">
        <v>934</v>
      </c>
    </row>
    <row r="812" spans="1:21" s="1" customFormat="1" ht="39.6" x14ac:dyDescent="0.3">
      <c r="A812" s="28" t="s">
        <v>934</v>
      </c>
      <c r="B812" s="30" t="s">
        <v>935</v>
      </c>
      <c r="C812" s="20" t="s">
        <v>37</v>
      </c>
      <c r="D812" s="12" t="s">
        <v>308</v>
      </c>
      <c r="E812" s="30">
        <v>1</v>
      </c>
      <c r="F812" s="28" t="s">
        <v>513</v>
      </c>
      <c r="G812" s="30" t="s">
        <v>23</v>
      </c>
      <c r="H812" s="12" t="s">
        <v>24</v>
      </c>
      <c r="I812" s="12" t="s">
        <v>25</v>
      </c>
      <c r="J812" s="12" t="s">
        <v>72</v>
      </c>
      <c r="K812" s="29">
        <v>45068</v>
      </c>
      <c r="L812" s="29">
        <v>46022</v>
      </c>
      <c r="M812" s="30" t="s">
        <v>936</v>
      </c>
      <c r="N812" s="30">
        <f t="shared" si="21"/>
        <v>8850</v>
      </c>
      <c r="O812" s="14">
        <f t="shared" si="20"/>
        <v>8850</v>
      </c>
      <c r="P812" s="30" t="s">
        <v>50</v>
      </c>
      <c r="Q812" s="19" t="s">
        <v>409</v>
      </c>
      <c r="R812" s="20">
        <v>9930806008</v>
      </c>
      <c r="S812" s="20" t="s">
        <v>937</v>
      </c>
      <c r="T812" s="8" t="s">
        <v>41</v>
      </c>
      <c r="U812" s="7" t="s">
        <v>934</v>
      </c>
    </row>
    <row r="813" spans="1:21" s="1" customFormat="1" ht="39.6" x14ac:dyDescent="0.3">
      <c r="A813" s="28" t="s">
        <v>934</v>
      </c>
      <c r="B813" s="30" t="s">
        <v>935</v>
      </c>
      <c r="C813" s="20" t="s">
        <v>37</v>
      </c>
      <c r="D813" s="12" t="s">
        <v>308</v>
      </c>
      <c r="E813" s="30">
        <v>1</v>
      </c>
      <c r="F813" s="28" t="s">
        <v>513</v>
      </c>
      <c r="G813" s="30" t="s">
        <v>23</v>
      </c>
      <c r="H813" s="12" t="s">
        <v>24</v>
      </c>
      <c r="I813" s="12" t="s">
        <v>25</v>
      </c>
      <c r="J813" s="12" t="s">
        <v>72</v>
      </c>
      <c r="K813" s="29">
        <v>45068</v>
      </c>
      <c r="L813" s="29">
        <v>46022</v>
      </c>
      <c r="M813" s="30" t="s">
        <v>936</v>
      </c>
      <c r="N813" s="30">
        <f t="shared" si="21"/>
        <v>8850</v>
      </c>
      <c r="O813" s="14">
        <f t="shared" si="20"/>
        <v>8850</v>
      </c>
      <c r="P813" s="30" t="s">
        <v>50</v>
      </c>
      <c r="Q813" s="19" t="s">
        <v>409</v>
      </c>
      <c r="R813" s="20">
        <v>9930806008</v>
      </c>
      <c r="S813" s="20" t="s">
        <v>937</v>
      </c>
      <c r="T813" s="8" t="s">
        <v>41</v>
      </c>
      <c r="U813" s="7" t="s">
        <v>934</v>
      </c>
    </row>
    <row r="814" spans="1:21" s="1" customFormat="1" ht="39.6" x14ac:dyDescent="0.3">
      <c r="A814" s="28" t="s">
        <v>934</v>
      </c>
      <c r="B814" s="30" t="s">
        <v>935</v>
      </c>
      <c r="C814" s="20" t="s">
        <v>37</v>
      </c>
      <c r="D814" s="12" t="s">
        <v>308</v>
      </c>
      <c r="E814" s="30">
        <v>1</v>
      </c>
      <c r="F814" s="28" t="s">
        <v>513</v>
      </c>
      <c r="G814" s="30" t="s">
        <v>23</v>
      </c>
      <c r="H814" s="12" t="s">
        <v>24</v>
      </c>
      <c r="I814" s="12" t="s">
        <v>25</v>
      </c>
      <c r="J814" s="12" t="s">
        <v>72</v>
      </c>
      <c r="K814" s="29">
        <v>45068</v>
      </c>
      <c r="L814" s="29">
        <v>46022</v>
      </c>
      <c r="M814" s="30" t="s">
        <v>936</v>
      </c>
      <c r="N814" s="30">
        <f t="shared" si="21"/>
        <v>8850</v>
      </c>
      <c r="O814" s="14">
        <f t="shared" si="20"/>
        <v>8850</v>
      </c>
      <c r="P814" s="30" t="s">
        <v>50</v>
      </c>
      <c r="Q814" s="19" t="s">
        <v>409</v>
      </c>
      <c r="R814" s="20">
        <v>9930806008</v>
      </c>
      <c r="S814" s="20" t="s">
        <v>937</v>
      </c>
      <c r="T814" s="8" t="s">
        <v>41</v>
      </c>
      <c r="U814" s="7" t="s">
        <v>934</v>
      </c>
    </row>
    <row r="815" spans="1:21" s="1" customFormat="1" ht="26.4" x14ac:dyDescent="0.3">
      <c r="A815" s="25" t="s">
        <v>984</v>
      </c>
      <c r="B815" s="25" t="s">
        <v>985</v>
      </c>
      <c r="C815" s="25" t="s">
        <v>37</v>
      </c>
      <c r="D815" s="5" t="s">
        <v>22</v>
      </c>
      <c r="E815" s="25">
        <v>1</v>
      </c>
      <c r="F815" s="5" t="s">
        <v>603</v>
      </c>
      <c r="G815" s="5" t="s">
        <v>23</v>
      </c>
      <c r="H815" s="5" t="s">
        <v>408</v>
      </c>
      <c r="I815" s="25" t="s">
        <v>25</v>
      </c>
      <c r="J815" s="11" t="s">
        <v>26</v>
      </c>
      <c r="K815" s="52">
        <v>45322</v>
      </c>
      <c r="L815" s="52">
        <v>46069</v>
      </c>
      <c r="M815" s="5" t="s">
        <v>604</v>
      </c>
      <c r="N815" s="5">
        <v>178000</v>
      </c>
      <c r="O815" s="55">
        <f t="shared" si="20"/>
        <v>178000</v>
      </c>
      <c r="P815" s="31" t="s">
        <v>50</v>
      </c>
      <c r="Q815" s="45" t="s">
        <v>605</v>
      </c>
      <c r="R815" s="5" t="s">
        <v>606</v>
      </c>
      <c r="S815" s="5" t="s">
        <v>607</v>
      </c>
      <c r="T815" s="5" t="s">
        <v>942</v>
      </c>
      <c r="U815" s="25" t="s">
        <v>37</v>
      </c>
    </row>
    <row r="816" spans="1:21" s="3" customFormat="1" ht="26.4" hidden="1" x14ac:dyDescent="0.3">
      <c r="A816" s="5" t="s">
        <v>996</v>
      </c>
      <c r="B816" s="8" t="s">
        <v>997</v>
      </c>
      <c r="C816" s="17" t="s">
        <v>582</v>
      </c>
      <c r="D816" s="8" t="s">
        <v>1002</v>
      </c>
      <c r="E816" s="8">
        <v>2</v>
      </c>
      <c r="F816" s="5" t="s">
        <v>999</v>
      </c>
      <c r="G816" s="12" t="s">
        <v>1190</v>
      </c>
      <c r="H816" s="12" t="s">
        <v>1001</v>
      </c>
      <c r="I816" s="12" t="s">
        <v>25</v>
      </c>
      <c r="J816" s="12" t="s">
        <v>26</v>
      </c>
      <c r="K816" s="13">
        <v>45446</v>
      </c>
      <c r="L816" s="13">
        <v>45704</v>
      </c>
      <c r="M816" s="8" t="s">
        <v>1000</v>
      </c>
      <c r="N816" s="8">
        <v>8246</v>
      </c>
      <c r="O816" s="14">
        <f t="shared" si="20"/>
        <v>16492</v>
      </c>
      <c r="P816" s="12" t="s">
        <v>50</v>
      </c>
      <c r="Q816" s="7" t="s">
        <v>1013</v>
      </c>
      <c r="R816" s="8">
        <v>225316608</v>
      </c>
      <c r="S816" s="8" t="s">
        <v>1014</v>
      </c>
      <c r="T816" s="8" t="s">
        <v>41</v>
      </c>
      <c r="U816" s="8"/>
    </row>
    <row r="817" spans="1:21" s="3" customFormat="1" ht="26.4" x14ac:dyDescent="0.3">
      <c r="A817" s="5" t="s">
        <v>996</v>
      </c>
      <c r="B817" s="5" t="s">
        <v>997</v>
      </c>
      <c r="C817" s="25" t="s">
        <v>582</v>
      </c>
      <c r="D817" s="5" t="s">
        <v>590</v>
      </c>
      <c r="E817" s="5">
        <v>1</v>
      </c>
      <c r="F817" s="5" t="s">
        <v>999</v>
      </c>
      <c r="G817" s="11" t="s">
        <v>23</v>
      </c>
      <c r="H817" s="11" t="s">
        <v>580</v>
      </c>
      <c r="I817" s="11" t="s">
        <v>25</v>
      </c>
      <c r="J817" s="11" t="s">
        <v>26</v>
      </c>
      <c r="K817" s="52">
        <v>45446</v>
      </c>
      <c r="L817" s="52">
        <v>45704</v>
      </c>
      <c r="M817" s="5" t="s">
        <v>1000</v>
      </c>
      <c r="N817" s="5">
        <v>8246</v>
      </c>
      <c r="O817" s="55">
        <f t="shared" si="20"/>
        <v>8246</v>
      </c>
      <c r="P817" s="5" t="s">
        <v>73</v>
      </c>
      <c r="Q817" s="43" t="s">
        <v>1013</v>
      </c>
      <c r="R817" s="5">
        <v>225316608</v>
      </c>
      <c r="S817" s="5" t="s">
        <v>1014</v>
      </c>
      <c r="T817" s="28" t="s">
        <v>41</v>
      </c>
      <c r="U817" s="5"/>
    </row>
    <row r="818" spans="1:21" s="3" customFormat="1" ht="26.4" x14ac:dyDescent="0.3">
      <c r="A818" s="5" t="s">
        <v>996</v>
      </c>
      <c r="B818" s="5" t="s">
        <v>997</v>
      </c>
      <c r="C818" s="25" t="s">
        <v>582</v>
      </c>
      <c r="D818" s="5" t="s">
        <v>1006</v>
      </c>
      <c r="E818" s="5">
        <v>1</v>
      </c>
      <c r="F818" s="5" t="s">
        <v>999</v>
      </c>
      <c r="G818" s="11" t="s">
        <v>23</v>
      </c>
      <c r="H818" s="11" t="s">
        <v>580</v>
      </c>
      <c r="I818" s="11" t="s">
        <v>25</v>
      </c>
      <c r="J818" s="11" t="s">
        <v>26</v>
      </c>
      <c r="K818" s="52">
        <v>45446</v>
      </c>
      <c r="L818" s="52">
        <v>45704</v>
      </c>
      <c r="M818" s="5" t="s">
        <v>1000</v>
      </c>
      <c r="N818" s="5">
        <v>8246</v>
      </c>
      <c r="O818" s="55">
        <f t="shared" ref="O818:O849" si="22">N818*E818</f>
        <v>8246</v>
      </c>
      <c r="P818" s="5" t="s">
        <v>73</v>
      </c>
      <c r="Q818" s="43" t="s">
        <v>1013</v>
      </c>
      <c r="R818" s="5">
        <v>225316608</v>
      </c>
      <c r="S818" s="5" t="s">
        <v>1014</v>
      </c>
      <c r="T818" s="28" t="s">
        <v>41</v>
      </c>
      <c r="U818" s="5"/>
    </row>
    <row r="819" spans="1:21" s="3" customFormat="1" ht="26.4" x14ac:dyDescent="0.3">
      <c r="A819" s="5" t="s">
        <v>996</v>
      </c>
      <c r="B819" s="5" t="s">
        <v>997</v>
      </c>
      <c r="C819" s="25" t="s">
        <v>582</v>
      </c>
      <c r="D819" s="11" t="s">
        <v>931</v>
      </c>
      <c r="E819" s="5">
        <v>1</v>
      </c>
      <c r="F819" s="5" t="s">
        <v>999</v>
      </c>
      <c r="G819" s="11" t="s">
        <v>23</v>
      </c>
      <c r="H819" s="11" t="s">
        <v>580</v>
      </c>
      <c r="I819" s="11" t="s">
        <v>25</v>
      </c>
      <c r="J819" s="11" t="s">
        <v>26</v>
      </c>
      <c r="K819" s="52">
        <v>45446</v>
      </c>
      <c r="L819" s="52">
        <v>45704</v>
      </c>
      <c r="M819" s="5" t="s">
        <v>1000</v>
      </c>
      <c r="N819" s="5">
        <v>8246</v>
      </c>
      <c r="O819" s="55">
        <f t="shared" si="22"/>
        <v>8246</v>
      </c>
      <c r="P819" s="5" t="s">
        <v>73</v>
      </c>
      <c r="Q819" s="43" t="s">
        <v>1013</v>
      </c>
      <c r="R819" s="5">
        <v>225316608</v>
      </c>
      <c r="S819" s="5" t="s">
        <v>1014</v>
      </c>
      <c r="T819" s="28" t="s">
        <v>41</v>
      </c>
      <c r="U819" s="5"/>
    </row>
    <row r="820" spans="1:21" s="3" customFormat="1" ht="26.4" x14ac:dyDescent="0.3">
      <c r="A820" s="5" t="s">
        <v>996</v>
      </c>
      <c r="B820" s="5" t="s">
        <v>997</v>
      </c>
      <c r="C820" s="25" t="s">
        <v>582</v>
      </c>
      <c r="D820" s="11" t="s">
        <v>931</v>
      </c>
      <c r="E820" s="5">
        <v>1</v>
      </c>
      <c r="F820" s="5" t="s">
        <v>999</v>
      </c>
      <c r="G820" s="11" t="s">
        <v>23</v>
      </c>
      <c r="H820" s="11" t="s">
        <v>580</v>
      </c>
      <c r="I820" s="11" t="s">
        <v>25</v>
      </c>
      <c r="J820" s="11" t="s">
        <v>26</v>
      </c>
      <c r="K820" s="52">
        <v>45446</v>
      </c>
      <c r="L820" s="52">
        <v>45704</v>
      </c>
      <c r="M820" s="5" t="s">
        <v>1000</v>
      </c>
      <c r="N820" s="5">
        <v>8246</v>
      </c>
      <c r="O820" s="55">
        <f t="shared" si="22"/>
        <v>8246</v>
      </c>
      <c r="P820" s="5" t="s">
        <v>73</v>
      </c>
      <c r="Q820" s="43" t="s">
        <v>1013</v>
      </c>
      <c r="R820" s="5">
        <v>225316608</v>
      </c>
      <c r="S820" s="5" t="s">
        <v>1014</v>
      </c>
      <c r="T820" s="28" t="s">
        <v>41</v>
      </c>
      <c r="U820" s="5"/>
    </row>
    <row r="821" spans="1:21" s="3" customFormat="1" ht="26.4" x14ac:dyDescent="0.3">
      <c r="A821" s="5" t="s">
        <v>996</v>
      </c>
      <c r="B821" s="5" t="s">
        <v>997</v>
      </c>
      <c r="C821" s="25" t="s">
        <v>582</v>
      </c>
      <c r="D821" s="5" t="s">
        <v>1007</v>
      </c>
      <c r="E821" s="5">
        <v>1</v>
      </c>
      <c r="F821" s="5" t="s">
        <v>999</v>
      </c>
      <c r="G821" s="11" t="s">
        <v>23</v>
      </c>
      <c r="H821" s="11" t="s">
        <v>580</v>
      </c>
      <c r="I821" s="11" t="s">
        <v>25</v>
      </c>
      <c r="J821" s="11" t="s">
        <v>26</v>
      </c>
      <c r="K821" s="52">
        <v>45446</v>
      </c>
      <c r="L821" s="52">
        <v>45704</v>
      </c>
      <c r="M821" s="5" t="s">
        <v>1000</v>
      </c>
      <c r="N821" s="5">
        <v>8246</v>
      </c>
      <c r="O821" s="55">
        <f t="shared" si="22"/>
        <v>8246</v>
      </c>
      <c r="P821" s="5" t="s">
        <v>73</v>
      </c>
      <c r="Q821" s="43" t="s">
        <v>1013</v>
      </c>
      <c r="R821" s="5">
        <v>225316608</v>
      </c>
      <c r="S821" s="5" t="s">
        <v>1014</v>
      </c>
      <c r="T821" s="28" t="s">
        <v>41</v>
      </c>
      <c r="U821" s="5"/>
    </row>
    <row r="822" spans="1:21" s="3" customFormat="1" ht="26.4" x14ac:dyDescent="0.3">
      <c r="A822" s="5" t="s">
        <v>996</v>
      </c>
      <c r="B822" s="5" t="s">
        <v>997</v>
      </c>
      <c r="C822" s="25" t="s">
        <v>582</v>
      </c>
      <c r="D822" s="11" t="s">
        <v>556</v>
      </c>
      <c r="E822" s="5">
        <v>1</v>
      </c>
      <c r="F822" s="5" t="s">
        <v>999</v>
      </c>
      <c r="G822" s="11" t="s">
        <v>23</v>
      </c>
      <c r="H822" s="11" t="s">
        <v>580</v>
      </c>
      <c r="I822" s="11" t="s">
        <v>25</v>
      </c>
      <c r="J822" s="11" t="s">
        <v>26</v>
      </c>
      <c r="K822" s="52">
        <v>45446</v>
      </c>
      <c r="L822" s="52">
        <v>45704</v>
      </c>
      <c r="M822" s="5" t="s">
        <v>1000</v>
      </c>
      <c r="N822" s="5">
        <v>8246</v>
      </c>
      <c r="O822" s="55">
        <f t="shared" si="22"/>
        <v>8246</v>
      </c>
      <c r="P822" s="5" t="s">
        <v>73</v>
      </c>
      <c r="Q822" s="43" t="s">
        <v>1013</v>
      </c>
      <c r="R822" s="5">
        <v>225316608</v>
      </c>
      <c r="S822" s="5" t="s">
        <v>1014</v>
      </c>
      <c r="T822" s="28" t="s">
        <v>41</v>
      </c>
      <c r="U822" s="5"/>
    </row>
    <row r="823" spans="1:21" s="3" customFormat="1" ht="26.4" x14ac:dyDescent="0.3">
      <c r="A823" s="5" t="s">
        <v>996</v>
      </c>
      <c r="B823" s="5" t="s">
        <v>997</v>
      </c>
      <c r="C823" s="25" t="s">
        <v>582</v>
      </c>
      <c r="D823" s="5" t="s">
        <v>1012</v>
      </c>
      <c r="E823" s="5">
        <v>1</v>
      </c>
      <c r="F823" s="5" t="s">
        <v>999</v>
      </c>
      <c r="G823" s="11" t="s">
        <v>23</v>
      </c>
      <c r="H823" s="11" t="s">
        <v>580</v>
      </c>
      <c r="I823" s="11" t="s">
        <v>25</v>
      </c>
      <c r="J823" s="11" t="s">
        <v>26</v>
      </c>
      <c r="K823" s="52">
        <v>45446</v>
      </c>
      <c r="L823" s="52">
        <v>45704</v>
      </c>
      <c r="M823" s="5" t="s">
        <v>1000</v>
      </c>
      <c r="N823" s="5">
        <v>8246</v>
      </c>
      <c r="O823" s="55">
        <f t="shared" si="22"/>
        <v>8246</v>
      </c>
      <c r="P823" s="5" t="s">
        <v>73</v>
      </c>
      <c r="Q823" s="43" t="s">
        <v>1013</v>
      </c>
      <c r="R823" s="5">
        <v>225316608</v>
      </c>
      <c r="S823" s="5" t="s">
        <v>1014</v>
      </c>
      <c r="T823" s="28" t="s">
        <v>41</v>
      </c>
      <c r="U823" s="5"/>
    </row>
    <row r="824" spans="1:21" s="3" customFormat="1" ht="26.4" x14ac:dyDescent="0.3">
      <c r="A824" s="5" t="s">
        <v>996</v>
      </c>
      <c r="B824" s="5" t="s">
        <v>997</v>
      </c>
      <c r="C824" s="25" t="s">
        <v>582</v>
      </c>
      <c r="D824" s="5" t="s">
        <v>265</v>
      </c>
      <c r="E824" s="5">
        <v>1</v>
      </c>
      <c r="F824" s="5" t="s">
        <v>999</v>
      </c>
      <c r="G824" s="11" t="s">
        <v>23</v>
      </c>
      <c r="H824" s="11" t="s">
        <v>580</v>
      </c>
      <c r="I824" s="11" t="s">
        <v>25</v>
      </c>
      <c r="J824" s="11" t="s">
        <v>26</v>
      </c>
      <c r="K824" s="52">
        <v>45446</v>
      </c>
      <c r="L824" s="52">
        <v>45704</v>
      </c>
      <c r="M824" s="5" t="s">
        <v>1000</v>
      </c>
      <c r="N824" s="5">
        <v>8246</v>
      </c>
      <c r="O824" s="55">
        <f t="shared" si="22"/>
        <v>8246</v>
      </c>
      <c r="P824" s="5" t="s">
        <v>73</v>
      </c>
      <c r="Q824" s="43" t="s">
        <v>1013</v>
      </c>
      <c r="R824" s="5">
        <v>225316608</v>
      </c>
      <c r="S824" s="5" t="s">
        <v>1014</v>
      </c>
      <c r="T824" s="28" t="s">
        <v>41</v>
      </c>
      <c r="U824" s="5"/>
    </row>
    <row r="825" spans="1:21" s="3" customFormat="1" ht="26.4" x14ac:dyDescent="0.3">
      <c r="A825" s="5" t="s">
        <v>996</v>
      </c>
      <c r="B825" s="5" t="s">
        <v>997</v>
      </c>
      <c r="C825" s="25" t="s">
        <v>582</v>
      </c>
      <c r="D825" s="11" t="s">
        <v>265</v>
      </c>
      <c r="E825" s="5">
        <v>1</v>
      </c>
      <c r="F825" s="5" t="s">
        <v>999</v>
      </c>
      <c r="G825" s="11" t="s">
        <v>23</v>
      </c>
      <c r="H825" s="11" t="s">
        <v>580</v>
      </c>
      <c r="I825" s="11" t="s">
        <v>25</v>
      </c>
      <c r="J825" s="11" t="s">
        <v>26</v>
      </c>
      <c r="K825" s="52">
        <v>45446</v>
      </c>
      <c r="L825" s="52">
        <v>45704</v>
      </c>
      <c r="M825" s="5" t="s">
        <v>1000</v>
      </c>
      <c r="N825" s="5">
        <v>8246</v>
      </c>
      <c r="O825" s="55">
        <f t="shared" si="22"/>
        <v>8246</v>
      </c>
      <c r="P825" s="5" t="s">
        <v>73</v>
      </c>
      <c r="Q825" s="43" t="s">
        <v>1013</v>
      </c>
      <c r="R825" s="5">
        <v>225316608</v>
      </c>
      <c r="S825" s="5" t="s">
        <v>1014</v>
      </c>
      <c r="T825" s="28" t="s">
        <v>41</v>
      </c>
      <c r="U825" s="5"/>
    </row>
    <row r="826" spans="1:21" s="3" customFormat="1" ht="26.4" x14ac:dyDescent="0.3">
      <c r="A826" s="5" t="s">
        <v>996</v>
      </c>
      <c r="B826" s="5" t="s">
        <v>997</v>
      </c>
      <c r="C826" s="25" t="s">
        <v>582</v>
      </c>
      <c r="D826" s="11" t="s">
        <v>265</v>
      </c>
      <c r="E826" s="5">
        <v>1</v>
      </c>
      <c r="F826" s="5" t="s">
        <v>999</v>
      </c>
      <c r="G826" s="11" t="s">
        <v>23</v>
      </c>
      <c r="H826" s="11" t="s">
        <v>580</v>
      </c>
      <c r="I826" s="11" t="s">
        <v>25</v>
      </c>
      <c r="J826" s="11" t="s">
        <v>26</v>
      </c>
      <c r="K826" s="52">
        <v>45446</v>
      </c>
      <c r="L826" s="52">
        <v>45704</v>
      </c>
      <c r="M826" s="5" t="s">
        <v>1000</v>
      </c>
      <c r="N826" s="5">
        <v>8246</v>
      </c>
      <c r="O826" s="55">
        <f t="shared" si="22"/>
        <v>8246</v>
      </c>
      <c r="P826" s="5" t="s">
        <v>73</v>
      </c>
      <c r="Q826" s="43" t="s">
        <v>1013</v>
      </c>
      <c r="R826" s="5">
        <v>225316608</v>
      </c>
      <c r="S826" s="5" t="s">
        <v>1014</v>
      </c>
      <c r="T826" s="28" t="s">
        <v>41</v>
      </c>
      <c r="U826" s="5"/>
    </row>
    <row r="827" spans="1:21" s="3" customFormat="1" ht="26.4" x14ac:dyDescent="0.3">
      <c r="A827" s="5" t="s">
        <v>996</v>
      </c>
      <c r="B827" s="5" t="s">
        <v>997</v>
      </c>
      <c r="C827" s="25" t="s">
        <v>582</v>
      </c>
      <c r="D827" s="11" t="s">
        <v>930</v>
      </c>
      <c r="E827" s="5">
        <v>1</v>
      </c>
      <c r="F827" s="5" t="s">
        <v>999</v>
      </c>
      <c r="G827" s="11" t="s">
        <v>23</v>
      </c>
      <c r="H827" s="11" t="s">
        <v>580</v>
      </c>
      <c r="I827" s="11" t="s">
        <v>25</v>
      </c>
      <c r="J827" s="11" t="s">
        <v>26</v>
      </c>
      <c r="K827" s="52">
        <v>45446</v>
      </c>
      <c r="L827" s="52">
        <v>45704</v>
      </c>
      <c r="M827" s="5" t="s">
        <v>1000</v>
      </c>
      <c r="N827" s="5">
        <v>8246</v>
      </c>
      <c r="O827" s="55">
        <f t="shared" si="22"/>
        <v>8246</v>
      </c>
      <c r="P827" s="5" t="s">
        <v>73</v>
      </c>
      <c r="Q827" s="43" t="s">
        <v>1013</v>
      </c>
      <c r="R827" s="5">
        <v>225316608</v>
      </c>
      <c r="S827" s="5" t="s">
        <v>1014</v>
      </c>
      <c r="T827" s="28" t="s">
        <v>41</v>
      </c>
      <c r="U827" s="5"/>
    </row>
    <row r="828" spans="1:21" s="3" customFormat="1" ht="26.4" x14ac:dyDescent="0.3">
      <c r="A828" s="5" t="s">
        <v>996</v>
      </c>
      <c r="B828" s="5" t="s">
        <v>997</v>
      </c>
      <c r="C828" s="25" t="s">
        <v>582</v>
      </c>
      <c r="D828" s="11" t="s">
        <v>265</v>
      </c>
      <c r="E828" s="5">
        <v>1</v>
      </c>
      <c r="F828" s="5" t="s">
        <v>999</v>
      </c>
      <c r="G828" s="11" t="s">
        <v>23</v>
      </c>
      <c r="H828" s="11" t="s">
        <v>580</v>
      </c>
      <c r="I828" s="11" t="s">
        <v>25</v>
      </c>
      <c r="J828" s="11" t="s">
        <v>26</v>
      </c>
      <c r="K828" s="52">
        <v>45446</v>
      </c>
      <c r="L828" s="52">
        <v>45704</v>
      </c>
      <c r="M828" s="5" t="s">
        <v>1000</v>
      </c>
      <c r="N828" s="5">
        <v>8246</v>
      </c>
      <c r="O828" s="55">
        <f t="shared" si="22"/>
        <v>8246</v>
      </c>
      <c r="P828" s="5" t="s">
        <v>73</v>
      </c>
      <c r="Q828" s="43" t="s">
        <v>1013</v>
      </c>
      <c r="R828" s="5">
        <v>225316608</v>
      </c>
      <c r="S828" s="5" t="s">
        <v>1014</v>
      </c>
      <c r="T828" s="28" t="s">
        <v>41</v>
      </c>
      <c r="U828" s="5"/>
    </row>
    <row r="829" spans="1:21" s="3" customFormat="1" ht="26.4" x14ac:dyDescent="0.3">
      <c r="A829" s="5" t="s">
        <v>996</v>
      </c>
      <c r="B829" s="5" t="s">
        <v>997</v>
      </c>
      <c r="C829" s="25" t="s">
        <v>582</v>
      </c>
      <c r="D829" s="11" t="s">
        <v>265</v>
      </c>
      <c r="E829" s="5">
        <v>1</v>
      </c>
      <c r="F829" s="5" t="s">
        <v>999</v>
      </c>
      <c r="G829" s="11" t="s">
        <v>23</v>
      </c>
      <c r="H829" s="11" t="s">
        <v>580</v>
      </c>
      <c r="I829" s="11" t="s">
        <v>25</v>
      </c>
      <c r="J829" s="11" t="s">
        <v>26</v>
      </c>
      <c r="K829" s="52">
        <v>45446</v>
      </c>
      <c r="L829" s="52">
        <v>45704</v>
      </c>
      <c r="M829" s="5" t="s">
        <v>1000</v>
      </c>
      <c r="N829" s="5">
        <v>8246</v>
      </c>
      <c r="O829" s="55">
        <f t="shared" si="22"/>
        <v>8246</v>
      </c>
      <c r="P829" s="5" t="s">
        <v>73</v>
      </c>
      <c r="Q829" s="43" t="s">
        <v>1013</v>
      </c>
      <c r="R829" s="5">
        <v>225316608</v>
      </c>
      <c r="S829" s="5" t="s">
        <v>1014</v>
      </c>
      <c r="T829" s="28" t="s">
        <v>41</v>
      </c>
      <c r="U829" s="5"/>
    </row>
    <row r="830" spans="1:21" s="3" customFormat="1" ht="26.4" x14ac:dyDescent="0.3">
      <c r="A830" s="5" t="s">
        <v>996</v>
      </c>
      <c r="B830" s="5" t="s">
        <v>997</v>
      </c>
      <c r="C830" s="25" t="s">
        <v>582</v>
      </c>
      <c r="D830" s="11" t="s">
        <v>930</v>
      </c>
      <c r="E830" s="5">
        <v>2</v>
      </c>
      <c r="F830" s="5" t="s">
        <v>999</v>
      </c>
      <c r="G830" s="11" t="s">
        <v>23</v>
      </c>
      <c r="H830" s="11" t="s">
        <v>580</v>
      </c>
      <c r="I830" s="11" t="s">
        <v>25</v>
      </c>
      <c r="J830" s="11" t="s">
        <v>26</v>
      </c>
      <c r="K830" s="52">
        <v>45446</v>
      </c>
      <c r="L830" s="52">
        <v>45704</v>
      </c>
      <c r="M830" s="5" t="s">
        <v>1000</v>
      </c>
      <c r="N830" s="5">
        <v>8246</v>
      </c>
      <c r="O830" s="55">
        <f t="shared" si="22"/>
        <v>16492</v>
      </c>
      <c r="P830" s="5" t="s">
        <v>50</v>
      </c>
      <c r="Q830" s="43" t="s">
        <v>1013</v>
      </c>
      <c r="R830" s="5">
        <v>225316608</v>
      </c>
      <c r="S830" s="5" t="s">
        <v>1014</v>
      </c>
      <c r="T830" s="28" t="s">
        <v>41</v>
      </c>
      <c r="U830" s="5"/>
    </row>
    <row r="831" spans="1:21" s="3" customFormat="1" ht="26.4" x14ac:dyDescent="0.3">
      <c r="A831" s="5" t="s">
        <v>996</v>
      </c>
      <c r="B831" s="5" t="s">
        <v>997</v>
      </c>
      <c r="C831" s="25" t="s">
        <v>582</v>
      </c>
      <c r="D831" s="11" t="s">
        <v>1222</v>
      </c>
      <c r="E831" s="5">
        <v>1</v>
      </c>
      <c r="F831" s="5" t="s">
        <v>999</v>
      </c>
      <c r="G831" s="11" t="s">
        <v>23</v>
      </c>
      <c r="H831" s="11" t="s">
        <v>580</v>
      </c>
      <c r="I831" s="11" t="s">
        <v>25</v>
      </c>
      <c r="J831" s="11" t="s">
        <v>26</v>
      </c>
      <c r="K831" s="52">
        <v>45446</v>
      </c>
      <c r="L831" s="52">
        <v>45704</v>
      </c>
      <c r="M831" s="5" t="s">
        <v>1000</v>
      </c>
      <c r="N831" s="5">
        <v>8246</v>
      </c>
      <c r="O831" s="55">
        <f t="shared" si="22"/>
        <v>8246</v>
      </c>
      <c r="P831" s="5" t="s">
        <v>73</v>
      </c>
      <c r="Q831" s="43" t="s">
        <v>1013</v>
      </c>
      <c r="R831" s="5">
        <v>225316608</v>
      </c>
      <c r="S831" s="5" t="s">
        <v>1014</v>
      </c>
      <c r="T831" s="28" t="s">
        <v>41</v>
      </c>
      <c r="U831" s="5"/>
    </row>
    <row r="832" spans="1:21" s="3" customFormat="1" ht="26.4" x14ac:dyDescent="0.3">
      <c r="A832" s="5" t="s">
        <v>996</v>
      </c>
      <c r="B832" s="5" t="s">
        <v>997</v>
      </c>
      <c r="C832" s="25" t="s">
        <v>582</v>
      </c>
      <c r="D832" s="11" t="s">
        <v>1222</v>
      </c>
      <c r="E832" s="5">
        <v>4</v>
      </c>
      <c r="F832" s="5" t="s">
        <v>999</v>
      </c>
      <c r="G832" s="11" t="s">
        <v>23</v>
      </c>
      <c r="H832" s="11" t="s">
        <v>580</v>
      </c>
      <c r="I832" s="11" t="s">
        <v>25</v>
      </c>
      <c r="J832" s="11" t="s">
        <v>26</v>
      </c>
      <c r="K832" s="52">
        <v>45446</v>
      </c>
      <c r="L832" s="52">
        <v>45704</v>
      </c>
      <c r="M832" s="5" t="s">
        <v>1000</v>
      </c>
      <c r="N832" s="5">
        <v>8246</v>
      </c>
      <c r="O832" s="55">
        <f t="shared" si="22"/>
        <v>32984</v>
      </c>
      <c r="P832" s="5" t="s">
        <v>50</v>
      </c>
      <c r="Q832" s="43" t="s">
        <v>1013</v>
      </c>
      <c r="R832" s="5">
        <v>225316608</v>
      </c>
      <c r="S832" s="5" t="s">
        <v>1014</v>
      </c>
      <c r="T832" s="28" t="s">
        <v>41</v>
      </c>
      <c r="U832" s="5"/>
    </row>
    <row r="833" spans="1:21" s="3" customFormat="1" ht="26.4" x14ac:dyDescent="0.3">
      <c r="A833" s="5" t="s">
        <v>996</v>
      </c>
      <c r="B833" s="5" t="s">
        <v>997</v>
      </c>
      <c r="C833" s="25" t="s">
        <v>582</v>
      </c>
      <c r="D833" s="11" t="s">
        <v>1222</v>
      </c>
      <c r="E833" s="5">
        <v>4</v>
      </c>
      <c r="F833" s="5" t="s">
        <v>999</v>
      </c>
      <c r="G833" s="11" t="s">
        <v>23</v>
      </c>
      <c r="H833" s="11" t="s">
        <v>580</v>
      </c>
      <c r="I833" s="11" t="s">
        <v>25</v>
      </c>
      <c r="J833" s="11" t="s">
        <v>26</v>
      </c>
      <c r="K833" s="52">
        <v>45446</v>
      </c>
      <c r="L833" s="52">
        <v>45704</v>
      </c>
      <c r="M833" s="5" t="s">
        <v>1000</v>
      </c>
      <c r="N833" s="5">
        <v>8246</v>
      </c>
      <c r="O833" s="55">
        <f t="shared" si="22"/>
        <v>32984</v>
      </c>
      <c r="P833" s="5" t="s">
        <v>50</v>
      </c>
      <c r="Q833" s="43" t="s">
        <v>1013</v>
      </c>
      <c r="R833" s="5">
        <v>225316608</v>
      </c>
      <c r="S833" s="5" t="s">
        <v>1014</v>
      </c>
      <c r="T833" s="28" t="s">
        <v>41</v>
      </c>
      <c r="U833" s="5"/>
    </row>
    <row r="834" spans="1:21" s="3" customFormat="1" ht="26.4" x14ac:dyDescent="0.3">
      <c r="A834" s="5" t="s">
        <v>996</v>
      </c>
      <c r="B834" s="5" t="s">
        <v>997</v>
      </c>
      <c r="C834" s="25" t="s">
        <v>582</v>
      </c>
      <c r="D834" s="11" t="s">
        <v>932</v>
      </c>
      <c r="E834" s="5">
        <v>1</v>
      </c>
      <c r="F834" s="5" t="s">
        <v>999</v>
      </c>
      <c r="G834" s="11" t="s">
        <v>23</v>
      </c>
      <c r="H834" s="11" t="s">
        <v>580</v>
      </c>
      <c r="I834" s="11" t="s">
        <v>25</v>
      </c>
      <c r="J834" s="11" t="s">
        <v>26</v>
      </c>
      <c r="K834" s="52">
        <v>45446</v>
      </c>
      <c r="L834" s="52">
        <v>45704</v>
      </c>
      <c r="M834" s="5" t="s">
        <v>1000</v>
      </c>
      <c r="N834" s="5">
        <v>8246</v>
      </c>
      <c r="O834" s="55">
        <f t="shared" si="22"/>
        <v>8246</v>
      </c>
      <c r="P834" s="5" t="s">
        <v>73</v>
      </c>
      <c r="Q834" s="43" t="s">
        <v>1013</v>
      </c>
      <c r="R834" s="5">
        <v>225316608</v>
      </c>
      <c r="S834" s="5" t="s">
        <v>1014</v>
      </c>
      <c r="T834" s="28" t="s">
        <v>41</v>
      </c>
      <c r="U834" s="5"/>
    </row>
    <row r="835" spans="1:21" s="3" customFormat="1" ht="26.4" x14ac:dyDescent="0.3">
      <c r="A835" s="5" t="s">
        <v>996</v>
      </c>
      <c r="B835" s="5" t="s">
        <v>997</v>
      </c>
      <c r="C835" s="25" t="s">
        <v>582</v>
      </c>
      <c r="D835" s="5" t="s">
        <v>349</v>
      </c>
      <c r="E835" s="5">
        <v>1</v>
      </c>
      <c r="F835" s="5" t="s">
        <v>999</v>
      </c>
      <c r="G835" s="11" t="s">
        <v>23</v>
      </c>
      <c r="H835" s="11" t="s">
        <v>580</v>
      </c>
      <c r="I835" s="11" t="s">
        <v>25</v>
      </c>
      <c r="J835" s="11" t="s">
        <v>26</v>
      </c>
      <c r="K835" s="52">
        <v>45446</v>
      </c>
      <c r="L835" s="52">
        <v>45704</v>
      </c>
      <c r="M835" s="5" t="s">
        <v>1000</v>
      </c>
      <c r="N835" s="5">
        <v>8246</v>
      </c>
      <c r="O835" s="55">
        <f t="shared" si="22"/>
        <v>8246</v>
      </c>
      <c r="P835" s="5" t="s">
        <v>73</v>
      </c>
      <c r="Q835" s="43" t="s">
        <v>1013</v>
      </c>
      <c r="R835" s="5">
        <v>225316608</v>
      </c>
      <c r="S835" s="5" t="s">
        <v>1014</v>
      </c>
      <c r="T835" s="28" t="s">
        <v>41</v>
      </c>
      <c r="U835" s="5"/>
    </row>
    <row r="836" spans="1:21" s="3" customFormat="1" ht="26.4" x14ac:dyDescent="0.3">
      <c r="A836" s="5" t="s">
        <v>996</v>
      </c>
      <c r="B836" s="5" t="s">
        <v>997</v>
      </c>
      <c r="C836" s="25" t="s">
        <v>582</v>
      </c>
      <c r="D836" s="5" t="s">
        <v>349</v>
      </c>
      <c r="E836" s="5">
        <v>1</v>
      </c>
      <c r="F836" s="5" t="s">
        <v>999</v>
      </c>
      <c r="G836" s="11" t="s">
        <v>23</v>
      </c>
      <c r="H836" s="11" t="s">
        <v>580</v>
      </c>
      <c r="I836" s="11" t="s">
        <v>25</v>
      </c>
      <c r="J836" s="11" t="s">
        <v>26</v>
      </c>
      <c r="K836" s="52">
        <v>45446</v>
      </c>
      <c r="L836" s="52">
        <v>45704</v>
      </c>
      <c r="M836" s="5" t="s">
        <v>1000</v>
      </c>
      <c r="N836" s="5">
        <v>8246</v>
      </c>
      <c r="O836" s="55">
        <f t="shared" si="22"/>
        <v>8246</v>
      </c>
      <c r="P836" s="5" t="s">
        <v>73</v>
      </c>
      <c r="Q836" s="43" t="s">
        <v>1013</v>
      </c>
      <c r="R836" s="5">
        <v>225316608</v>
      </c>
      <c r="S836" s="5" t="s">
        <v>1014</v>
      </c>
      <c r="T836" s="28" t="s">
        <v>41</v>
      </c>
      <c r="U836" s="5"/>
    </row>
    <row r="837" spans="1:21" s="3" customFormat="1" ht="26.4" x14ac:dyDescent="0.3">
      <c r="A837" s="5" t="s">
        <v>996</v>
      </c>
      <c r="B837" s="5" t="s">
        <v>997</v>
      </c>
      <c r="C837" s="25" t="s">
        <v>582</v>
      </c>
      <c r="D837" s="5" t="s">
        <v>49</v>
      </c>
      <c r="E837" s="5">
        <v>1</v>
      </c>
      <c r="F837" s="5" t="s">
        <v>999</v>
      </c>
      <c r="G837" s="11" t="s">
        <v>23</v>
      </c>
      <c r="H837" s="11" t="s">
        <v>580</v>
      </c>
      <c r="I837" s="11" t="s">
        <v>25</v>
      </c>
      <c r="J837" s="11" t="s">
        <v>26</v>
      </c>
      <c r="K837" s="52">
        <v>45446</v>
      </c>
      <c r="L837" s="52">
        <v>45704</v>
      </c>
      <c r="M837" s="5" t="s">
        <v>1000</v>
      </c>
      <c r="N837" s="5">
        <v>8246</v>
      </c>
      <c r="O837" s="55">
        <f t="shared" si="22"/>
        <v>8246</v>
      </c>
      <c r="P837" s="5" t="s">
        <v>73</v>
      </c>
      <c r="Q837" s="43" t="s">
        <v>1013</v>
      </c>
      <c r="R837" s="5">
        <v>225316608</v>
      </c>
      <c r="S837" s="5" t="s">
        <v>1014</v>
      </c>
      <c r="T837" s="28" t="s">
        <v>41</v>
      </c>
      <c r="U837" s="5"/>
    </row>
    <row r="838" spans="1:21" s="3" customFormat="1" ht="26.4" x14ac:dyDescent="0.3">
      <c r="A838" s="5" t="s">
        <v>996</v>
      </c>
      <c r="B838" s="5" t="s">
        <v>997</v>
      </c>
      <c r="C838" s="25" t="s">
        <v>582</v>
      </c>
      <c r="D838" s="5" t="s">
        <v>1002</v>
      </c>
      <c r="E838" s="5">
        <v>4</v>
      </c>
      <c r="F838" s="5" t="s">
        <v>999</v>
      </c>
      <c r="G838" s="11" t="s">
        <v>23</v>
      </c>
      <c r="H838" s="11" t="s">
        <v>580</v>
      </c>
      <c r="I838" s="11" t="s">
        <v>25</v>
      </c>
      <c r="J838" s="11" t="s">
        <v>26</v>
      </c>
      <c r="K838" s="52">
        <v>45446</v>
      </c>
      <c r="L838" s="52">
        <v>45704</v>
      </c>
      <c r="M838" s="5" t="s">
        <v>1000</v>
      </c>
      <c r="N838" s="5">
        <v>8246</v>
      </c>
      <c r="O838" s="55">
        <f t="shared" si="22"/>
        <v>32984</v>
      </c>
      <c r="P838" s="5" t="s">
        <v>50</v>
      </c>
      <c r="Q838" s="43" t="s">
        <v>1013</v>
      </c>
      <c r="R838" s="5">
        <v>225316608</v>
      </c>
      <c r="S838" s="5" t="s">
        <v>1014</v>
      </c>
      <c r="T838" s="28" t="s">
        <v>41</v>
      </c>
      <c r="U838" s="5"/>
    </row>
    <row r="839" spans="1:21" s="3" customFormat="1" ht="26.4" x14ac:dyDescent="0.3">
      <c r="A839" s="5" t="s">
        <v>996</v>
      </c>
      <c r="B839" s="5" t="s">
        <v>997</v>
      </c>
      <c r="C839" s="25" t="s">
        <v>582</v>
      </c>
      <c r="D839" s="5" t="s">
        <v>1008</v>
      </c>
      <c r="E839" s="5">
        <v>1</v>
      </c>
      <c r="F839" s="5" t="s">
        <v>999</v>
      </c>
      <c r="G839" s="11" t="s">
        <v>23</v>
      </c>
      <c r="H839" s="11" t="s">
        <v>580</v>
      </c>
      <c r="I839" s="11" t="s">
        <v>25</v>
      </c>
      <c r="J839" s="11" t="s">
        <v>26</v>
      </c>
      <c r="K839" s="52">
        <v>45446</v>
      </c>
      <c r="L839" s="52">
        <v>45704</v>
      </c>
      <c r="M839" s="5" t="s">
        <v>1000</v>
      </c>
      <c r="N839" s="5">
        <v>8246</v>
      </c>
      <c r="O839" s="55">
        <f t="shared" si="22"/>
        <v>8246</v>
      </c>
      <c r="P839" s="5" t="s">
        <v>73</v>
      </c>
      <c r="Q839" s="43" t="s">
        <v>1013</v>
      </c>
      <c r="R839" s="5">
        <v>225316608</v>
      </c>
      <c r="S839" s="5" t="s">
        <v>1014</v>
      </c>
      <c r="T839" s="28" t="s">
        <v>41</v>
      </c>
      <c r="U839" s="5"/>
    </row>
    <row r="840" spans="1:21" s="3" customFormat="1" ht="26.4" x14ac:dyDescent="0.3">
      <c r="A840" s="5" t="s">
        <v>996</v>
      </c>
      <c r="B840" s="5" t="s">
        <v>997</v>
      </c>
      <c r="C840" s="25" t="s">
        <v>582</v>
      </c>
      <c r="D840" s="5" t="s">
        <v>1009</v>
      </c>
      <c r="E840" s="5">
        <v>1</v>
      </c>
      <c r="F840" s="5" t="s">
        <v>999</v>
      </c>
      <c r="G840" s="11" t="s">
        <v>23</v>
      </c>
      <c r="H840" s="11" t="s">
        <v>580</v>
      </c>
      <c r="I840" s="11" t="s">
        <v>25</v>
      </c>
      <c r="J840" s="11" t="s">
        <v>26</v>
      </c>
      <c r="K840" s="52">
        <v>45446</v>
      </c>
      <c r="L840" s="52">
        <v>45704</v>
      </c>
      <c r="M840" s="5" t="s">
        <v>1000</v>
      </c>
      <c r="N840" s="5">
        <v>8246</v>
      </c>
      <c r="O840" s="55">
        <f t="shared" si="22"/>
        <v>8246</v>
      </c>
      <c r="P840" s="5" t="s">
        <v>73</v>
      </c>
      <c r="Q840" s="43" t="s">
        <v>1013</v>
      </c>
      <c r="R840" s="5">
        <v>225316608</v>
      </c>
      <c r="S840" s="5" t="s">
        <v>1014</v>
      </c>
      <c r="T840" s="28" t="s">
        <v>41</v>
      </c>
      <c r="U840" s="5"/>
    </row>
    <row r="841" spans="1:21" s="3" customFormat="1" ht="26.4" x14ac:dyDescent="0.3">
      <c r="A841" s="5" t="s">
        <v>996</v>
      </c>
      <c r="B841" s="5" t="s">
        <v>997</v>
      </c>
      <c r="C841" s="25" t="s">
        <v>582</v>
      </c>
      <c r="D841" s="5" t="s">
        <v>1010</v>
      </c>
      <c r="E841" s="5">
        <v>1</v>
      </c>
      <c r="F841" s="5" t="s">
        <v>999</v>
      </c>
      <c r="G841" s="11" t="s">
        <v>23</v>
      </c>
      <c r="H841" s="11" t="s">
        <v>580</v>
      </c>
      <c r="I841" s="11" t="s">
        <v>25</v>
      </c>
      <c r="J841" s="11" t="s">
        <v>26</v>
      </c>
      <c r="K841" s="52">
        <v>45446</v>
      </c>
      <c r="L841" s="52">
        <v>45704</v>
      </c>
      <c r="M841" s="5" t="s">
        <v>1000</v>
      </c>
      <c r="N841" s="5">
        <v>8246</v>
      </c>
      <c r="O841" s="55">
        <f t="shared" si="22"/>
        <v>8246</v>
      </c>
      <c r="P841" s="5" t="s">
        <v>73</v>
      </c>
      <c r="Q841" s="43" t="s">
        <v>1013</v>
      </c>
      <c r="R841" s="5">
        <v>225316608</v>
      </c>
      <c r="S841" s="5" t="s">
        <v>1014</v>
      </c>
      <c r="T841" s="28" t="s">
        <v>41</v>
      </c>
      <c r="U841" s="5"/>
    </row>
    <row r="842" spans="1:21" s="3" customFormat="1" ht="26.4" x14ac:dyDescent="0.3">
      <c r="A842" s="5" t="s">
        <v>996</v>
      </c>
      <c r="B842" s="5" t="s">
        <v>997</v>
      </c>
      <c r="C842" s="25" t="s">
        <v>582</v>
      </c>
      <c r="D842" s="5" t="s">
        <v>1011</v>
      </c>
      <c r="E842" s="5">
        <v>1</v>
      </c>
      <c r="F842" s="5" t="s">
        <v>999</v>
      </c>
      <c r="G842" s="11" t="s">
        <v>23</v>
      </c>
      <c r="H842" s="11" t="s">
        <v>580</v>
      </c>
      <c r="I842" s="11" t="s">
        <v>25</v>
      </c>
      <c r="J842" s="11" t="s">
        <v>26</v>
      </c>
      <c r="K842" s="52">
        <v>45446</v>
      </c>
      <c r="L842" s="52">
        <v>45704</v>
      </c>
      <c r="M842" s="5" t="s">
        <v>1000</v>
      </c>
      <c r="N842" s="5">
        <v>8246</v>
      </c>
      <c r="O842" s="55">
        <f t="shared" si="22"/>
        <v>8246</v>
      </c>
      <c r="P842" s="5" t="s">
        <v>73</v>
      </c>
      <c r="Q842" s="43" t="s">
        <v>1013</v>
      </c>
      <c r="R842" s="5">
        <v>225316608</v>
      </c>
      <c r="S842" s="5" t="s">
        <v>1014</v>
      </c>
      <c r="T842" s="28" t="s">
        <v>41</v>
      </c>
      <c r="U842" s="5"/>
    </row>
    <row r="843" spans="1:21" s="3" customFormat="1" ht="26.4" x14ac:dyDescent="0.3">
      <c r="A843" s="5" t="s">
        <v>1015</v>
      </c>
      <c r="B843" s="5" t="s">
        <v>1016</v>
      </c>
      <c r="C843" s="25" t="s">
        <v>582</v>
      </c>
      <c r="D843" s="11" t="s">
        <v>1004</v>
      </c>
      <c r="E843" s="5">
        <v>2</v>
      </c>
      <c r="F843" s="5" t="s">
        <v>999</v>
      </c>
      <c r="G843" s="11" t="s">
        <v>23</v>
      </c>
      <c r="H843" s="11" t="s">
        <v>1001</v>
      </c>
      <c r="I843" s="11" t="s">
        <v>25</v>
      </c>
      <c r="J843" s="11" t="s">
        <v>26</v>
      </c>
      <c r="K843" s="52">
        <v>45446</v>
      </c>
      <c r="L843" s="52">
        <v>45704</v>
      </c>
      <c r="M843" s="5" t="s">
        <v>1000</v>
      </c>
      <c r="N843" s="5">
        <v>8312</v>
      </c>
      <c r="O843" s="55">
        <f t="shared" si="22"/>
        <v>16624</v>
      </c>
      <c r="P843" s="5" t="s">
        <v>50</v>
      </c>
      <c r="Q843" s="43" t="s">
        <v>1013</v>
      </c>
      <c r="R843" s="5">
        <v>225316608</v>
      </c>
      <c r="S843" s="5" t="s">
        <v>1014</v>
      </c>
      <c r="T843" s="28" t="s">
        <v>41</v>
      </c>
      <c r="U843" s="5"/>
    </row>
    <row r="844" spans="1:21" s="3" customFormat="1" ht="26.4" x14ac:dyDescent="0.3">
      <c r="A844" s="5" t="s">
        <v>1015</v>
      </c>
      <c r="B844" s="5" t="s">
        <v>1016</v>
      </c>
      <c r="C844" s="25" t="s">
        <v>582</v>
      </c>
      <c r="D844" s="5" t="s">
        <v>1017</v>
      </c>
      <c r="E844" s="5">
        <v>2</v>
      </c>
      <c r="F844" s="5" t="s">
        <v>999</v>
      </c>
      <c r="G844" s="11" t="s">
        <v>23</v>
      </c>
      <c r="H844" s="11" t="s">
        <v>1001</v>
      </c>
      <c r="I844" s="11" t="s">
        <v>25</v>
      </c>
      <c r="J844" s="11" t="s">
        <v>26</v>
      </c>
      <c r="K844" s="52">
        <v>45446</v>
      </c>
      <c r="L844" s="52">
        <v>45704</v>
      </c>
      <c r="M844" s="5" t="s">
        <v>1000</v>
      </c>
      <c r="N844" s="5">
        <v>8312</v>
      </c>
      <c r="O844" s="55">
        <f t="shared" si="22"/>
        <v>16624</v>
      </c>
      <c r="P844" s="5" t="s">
        <v>50</v>
      </c>
      <c r="Q844" s="43" t="s">
        <v>1013</v>
      </c>
      <c r="R844" s="5">
        <v>225316608</v>
      </c>
      <c r="S844" s="5" t="s">
        <v>1014</v>
      </c>
      <c r="T844" s="28" t="s">
        <v>41</v>
      </c>
      <c r="U844" s="5"/>
    </row>
    <row r="845" spans="1:21" s="3" customFormat="1" ht="26.4" x14ac:dyDescent="0.3">
      <c r="A845" s="5" t="s">
        <v>1015</v>
      </c>
      <c r="B845" s="5" t="s">
        <v>1016</v>
      </c>
      <c r="C845" s="25" t="s">
        <v>582</v>
      </c>
      <c r="D845" s="5" t="s">
        <v>1011</v>
      </c>
      <c r="E845" s="5">
        <v>1</v>
      </c>
      <c r="F845" s="5" t="s">
        <v>999</v>
      </c>
      <c r="G845" s="11" t="s">
        <v>23</v>
      </c>
      <c r="H845" s="11" t="s">
        <v>1001</v>
      </c>
      <c r="I845" s="11" t="s">
        <v>25</v>
      </c>
      <c r="J845" s="11" t="s">
        <v>26</v>
      </c>
      <c r="K845" s="52">
        <v>45446</v>
      </c>
      <c r="L845" s="52">
        <v>45704</v>
      </c>
      <c r="M845" s="5" t="s">
        <v>1000</v>
      </c>
      <c r="N845" s="5">
        <v>8312</v>
      </c>
      <c r="O845" s="55">
        <f t="shared" si="22"/>
        <v>8312</v>
      </c>
      <c r="P845" s="5" t="s">
        <v>50</v>
      </c>
      <c r="Q845" s="43" t="s">
        <v>1013</v>
      </c>
      <c r="R845" s="5">
        <v>225316608</v>
      </c>
      <c r="S845" s="5" t="s">
        <v>1014</v>
      </c>
      <c r="T845" s="28" t="s">
        <v>41</v>
      </c>
      <c r="U845" s="5"/>
    </row>
    <row r="846" spans="1:21" s="3" customFormat="1" ht="26.4" x14ac:dyDescent="0.3">
      <c r="A846" s="5" t="s">
        <v>1015</v>
      </c>
      <c r="B846" s="5" t="s">
        <v>1016</v>
      </c>
      <c r="C846" s="25" t="s">
        <v>582</v>
      </c>
      <c r="D846" s="5" t="s">
        <v>1018</v>
      </c>
      <c r="E846" s="5">
        <v>2</v>
      </c>
      <c r="F846" s="5" t="s">
        <v>999</v>
      </c>
      <c r="G846" s="11" t="s">
        <v>23</v>
      </c>
      <c r="H846" s="11" t="s">
        <v>1001</v>
      </c>
      <c r="I846" s="11" t="s">
        <v>25</v>
      </c>
      <c r="J846" s="11" t="s">
        <v>26</v>
      </c>
      <c r="K846" s="52">
        <v>45446</v>
      </c>
      <c r="L846" s="52">
        <v>45704</v>
      </c>
      <c r="M846" s="5" t="s">
        <v>1000</v>
      </c>
      <c r="N846" s="5">
        <v>8312</v>
      </c>
      <c r="O846" s="55">
        <f t="shared" si="22"/>
        <v>16624</v>
      </c>
      <c r="P846" s="5" t="s">
        <v>50</v>
      </c>
      <c r="Q846" s="43" t="s">
        <v>1013</v>
      </c>
      <c r="R846" s="5">
        <v>225316608</v>
      </c>
      <c r="S846" s="5" t="s">
        <v>1014</v>
      </c>
      <c r="T846" s="28" t="s">
        <v>41</v>
      </c>
      <c r="U846" s="5"/>
    </row>
    <row r="847" spans="1:21" s="3" customFormat="1" ht="26.4" x14ac:dyDescent="0.3">
      <c r="A847" s="5" t="s">
        <v>1015</v>
      </c>
      <c r="B847" s="5" t="s">
        <v>1016</v>
      </c>
      <c r="C847" s="25" t="s">
        <v>582</v>
      </c>
      <c r="D847" s="5" t="s">
        <v>1019</v>
      </c>
      <c r="E847" s="5">
        <v>2</v>
      </c>
      <c r="F847" s="5" t="s">
        <v>999</v>
      </c>
      <c r="G847" s="11" t="s">
        <v>23</v>
      </c>
      <c r="H847" s="11" t="s">
        <v>1001</v>
      </c>
      <c r="I847" s="11" t="s">
        <v>25</v>
      </c>
      <c r="J847" s="11" t="s">
        <v>26</v>
      </c>
      <c r="K847" s="52">
        <v>45446</v>
      </c>
      <c r="L847" s="52">
        <v>45704</v>
      </c>
      <c r="M847" s="5" t="s">
        <v>1000</v>
      </c>
      <c r="N847" s="5">
        <v>8312</v>
      </c>
      <c r="O847" s="55">
        <f t="shared" si="22"/>
        <v>16624</v>
      </c>
      <c r="P847" s="5" t="s">
        <v>50</v>
      </c>
      <c r="Q847" s="43" t="s">
        <v>1013</v>
      </c>
      <c r="R847" s="5">
        <v>225316608</v>
      </c>
      <c r="S847" s="5" t="s">
        <v>1014</v>
      </c>
      <c r="T847" s="28" t="s">
        <v>41</v>
      </c>
      <c r="U847" s="5"/>
    </row>
    <row r="848" spans="1:21" s="3" customFormat="1" ht="26.4" x14ac:dyDescent="0.3">
      <c r="A848" s="5" t="s">
        <v>1015</v>
      </c>
      <c r="B848" s="5" t="s">
        <v>1016</v>
      </c>
      <c r="C848" s="25" t="s">
        <v>582</v>
      </c>
      <c r="D848" s="5" t="s">
        <v>22</v>
      </c>
      <c r="E848" s="5">
        <v>1</v>
      </c>
      <c r="F848" s="5" t="s">
        <v>999</v>
      </c>
      <c r="G848" s="11" t="s">
        <v>23</v>
      </c>
      <c r="H848" s="11" t="s">
        <v>1001</v>
      </c>
      <c r="I848" s="11" t="s">
        <v>25</v>
      </c>
      <c r="J848" s="11" t="s">
        <v>26</v>
      </c>
      <c r="K848" s="52">
        <v>45446</v>
      </c>
      <c r="L848" s="52">
        <v>45704</v>
      </c>
      <c r="M848" s="5" t="s">
        <v>1000</v>
      </c>
      <c r="N848" s="5">
        <v>8312</v>
      </c>
      <c r="O848" s="55">
        <f t="shared" si="22"/>
        <v>8312</v>
      </c>
      <c r="P848" s="5" t="s">
        <v>50</v>
      </c>
      <c r="Q848" s="43" t="s">
        <v>1013</v>
      </c>
      <c r="R848" s="5">
        <v>225316608</v>
      </c>
      <c r="S848" s="5" t="s">
        <v>1014</v>
      </c>
      <c r="T848" s="28" t="s">
        <v>41</v>
      </c>
      <c r="U848" s="5"/>
    </row>
    <row r="849" spans="1:21" s="3" customFormat="1" ht="26.4" x14ac:dyDescent="0.3">
      <c r="A849" s="5" t="s">
        <v>1015</v>
      </c>
      <c r="B849" s="5" t="s">
        <v>1016</v>
      </c>
      <c r="C849" s="25" t="s">
        <v>582</v>
      </c>
      <c r="D849" s="5" t="s">
        <v>1020</v>
      </c>
      <c r="E849" s="5">
        <v>1</v>
      </c>
      <c r="F849" s="5" t="s">
        <v>999</v>
      </c>
      <c r="G849" s="11" t="s">
        <v>23</v>
      </c>
      <c r="H849" s="11" t="s">
        <v>1001</v>
      </c>
      <c r="I849" s="11" t="s">
        <v>25</v>
      </c>
      <c r="J849" s="11" t="s">
        <v>26</v>
      </c>
      <c r="K849" s="52">
        <v>45446</v>
      </c>
      <c r="L849" s="52">
        <v>45704</v>
      </c>
      <c r="M849" s="5" t="s">
        <v>1000</v>
      </c>
      <c r="N849" s="5">
        <v>8312</v>
      </c>
      <c r="O849" s="55">
        <f t="shared" si="22"/>
        <v>8312</v>
      </c>
      <c r="P849" s="5" t="s">
        <v>50</v>
      </c>
      <c r="Q849" s="43" t="s">
        <v>1013</v>
      </c>
      <c r="R849" s="5">
        <v>225316608</v>
      </c>
      <c r="S849" s="5" t="s">
        <v>1014</v>
      </c>
      <c r="T849" s="28" t="s">
        <v>41</v>
      </c>
      <c r="U849" s="5"/>
    </row>
    <row r="850" spans="1:21" s="3" customFormat="1" ht="26.4" x14ac:dyDescent="0.3">
      <c r="A850" s="5" t="s">
        <v>1015</v>
      </c>
      <c r="B850" s="5" t="s">
        <v>1016</v>
      </c>
      <c r="C850" s="25" t="s">
        <v>582</v>
      </c>
      <c r="D850" s="5" t="s">
        <v>1021</v>
      </c>
      <c r="E850" s="5">
        <v>2</v>
      </c>
      <c r="F850" s="5" t="s">
        <v>999</v>
      </c>
      <c r="G850" s="11" t="s">
        <v>23</v>
      </c>
      <c r="H850" s="11" t="s">
        <v>1001</v>
      </c>
      <c r="I850" s="11" t="s">
        <v>25</v>
      </c>
      <c r="J850" s="11" t="s">
        <v>26</v>
      </c>
      <c r="K850" s="52">
        <v>45446</v>
      </c>
      <c r="L850" s="52">
        <v>45704</v>
      </c>
      <c r="M850" s="5" t="s">
        <v>1000</v>
      </c>
      <c r="N850" s="5">
        <v>8312</v>
      </c>
      <c r="O850" s="55">
        <f t="shared" ref="O850:O870" si="23">N850*E850</f>
        <v>16624</v>
      </c>
      <c r="P850" s="5" t="s">
        <v>50</v>
      </c>
      <c r="Q850" s="43" t="s">
        <v>1013</v>
      </c>
      <c r="R850" s="5">
        <v>225316608</v>
      </c>
      <c r="S850" s="5" t="s">
        <v>1014</v>
      </c>
      <c r="T850" s="28" t="s">
        <v>41</v>
      </c>
      <c r="U850" s="5"/>
    </row>
    <row r="851" spans="1:21" s="3" customFormat="1" ht="26.4" x14ac:dyDescent="0.3">
      <c r="A851" s="5" t="s">
        <v>1015</v>
      </c>
      <c r="B851" s="5" t="s">
        <v>1016</v>
      </c>
      <c r="C851" s="25" t="s">
        <v>582</v>
      </c>
      <c r="D851" s="5" t="s">
        <v>1022</v>
      </c>
      <c r="E851" s="5">
        <v>1</v>
      </c>
      <c r="F851" s="5" t="s">
        <v>999</v>
      </c>
      <c r="G851" s="11" t="s">
        <v>23</v>
      </c>
      <c r="H851" s="11" t="s">
        <v>1001</v>
      </c>
      <c r="I851" s="11" t="s">
        <v>25</v>
      </c>
      <c r="J851" s="11" t="s">
        <v>26</v>
      </c>
      <c r="K851" s="52">
        <v>45446</v>
      </c>
      <c r="L851" s="52">
        <v>45704</v>
      </c>
      <c r="M851" s="5" t="s">
        <v>1000</v>
      </c>
      <c r="N851" s="5">
        <v>8312</v>
      </c>
      <c r="O851" s="55">
        <f t="shared" si="23"/>
        <v>8312</v>
      </c>
      <c r="P851" s="25" t="s">
        <v>50</v>
      </c>
      <c r="Q851" s="43" t="s">
        <v>1013</v>
      </c>
      <c r="R851" s="5">
        <v>225316608</v>
      </c>
      <c r="S851" s="5" t="s">
        <v>1014</v>
      </c>
      <c r="T851" s="28" t="s">
        <v>41</v>
      </c>
      <c r="U851" s="5"/>
    </row>
    <row r="852" spans="1:21" s="3" customFormat="1" ht="26.4" x14ac:dyDescent="0.3">
      <c r="A852" s="5" t="s">
        <v>1015</v>
      </c>
      <c r="B852" s="5" t="s">
        <v>1016</v>
      </c>
      <c r="C852" s="25" t="s">
        <v>582</v>
      </c>
      <c r="D852" s="5" t="s">
        <v>1023</v>
      </c>
      <c r="E852" s="5">
        <v>2</v>
      </c>
      <c r="F852" s="5" t="s">
        <v>999</v>
      </c>
      <c r="G852" s="11" t="s">
        <v>23</v>
      </c>
      <c r="H852" s="11" t="s">
        <v>1001</v>
      </c>
      <c r="I852" s="11" t="s">
        <v>25</v>
      </c>
      <c r="J852" s="11" t="s">
        <v>26</v>
      </c>
      <c r="K852" s="52">
        <v>45446</v>
      </c>
      <c r="L852" s="52">
        <v>45704</v>
      </c>
      <c r="M852" s="5" t="s">
        <v>1000</v>
      </c>
      <c r="N852" s="5">
        <v>8312</v>
      </c>
      <c r="O852" s="55">
        <f t="shared" si="23"/>
        <v>16624</v>
      </c>
      <c r="P852" s="5" t="s">
        <v>50</v>
      </c>
      <c r="Q852" s="43" t="s">
        <v>1013</v>
      </c>
      <c r="R852" s="5">
        <v>225316608</v>
      </c>
      <c r="S852" s="5" t="s">
        <v>1014</v>
      </c>
      <c r="T852" s="28" t="s">
        <v>41</v>
      </c>
      <c r="U852" s="5"/>
    </row>
    <row r="853" spans="1:21" s="3" customFormat="1" ht="26.4" x14ac:dyDescent="0.3">
      <c r="A853" s="5" t="s">
        <v>1015</v>
      </c>
      <c r="B853" s="5" t="s">
        <v>1016</v>
      </c>
      <c r="C853" s="25" t="s">
        <v>582</v>
      </c>
      <c r="D853" s="5" t="s">
        <v>1024</v>
      </c>
      <c r="E853" s="5">
        <v>1</v>
      </c>
      <c r="F853" s="5" t="s">
        <v>999</v>
      </c>
      <c r="G853" s="11" t="s">
        <v>23</v>
      </c>
      <c r="H853" s="11" t="s">
        <v>1001</v>
      </c>
      <c r="I853" s="11" t="s">
        <v>25</v>
      </c>
      <c r="J853" s="11" t="s">
        <v>26</v>
      </c>
      <c r="K853" s="52">
        <v>45446</v>
      </c>
      <c r="L853" s="52">
        <v>45704</v>
      </c>
      <c r="M853" s="5" t="s">
        <v>1000</v>
      </c>
      <c r="N853" s="5">
        <v>8312</v>
      </c>
      <c r="O853" s="55">
        <f t="shared" si="23"/>
        <v>8312</v>
      </c>
      <c r="P853" s="5" t="s">
        <v>50</v>
      </c>
      <c r="Q853" s="43" t="s">
        <v>1013</v>
      </c>
      <c r="R853" s="5">
        <v>225316608</v>
      </c>
      <c r="S853" s="5" t="s">
        <v>1014</v>
      </c>
      <c r="T853" s="28" t="s">
        <v>41</v>
      </c>
      <c r="U853" s="5"/>
    </row>
    <row r="854" spans="1:21" s="3" customFormat="1" ht="26.4" x14ac:dyDescent="0.3">
      <c r="A854" s="5" t="s">
        <v>1015</v>
      </c>
      <c r="B854" s="5" t="s">
        <v>1016</v>
      </c>
      <c r="C854" s="25" t="s">
        <v>582</v>
      </c>
      <c r="D854" s="5" t="s">
        <v>1025</v>
      </c>
      <c r="E854" s="5">
        <v>2</v>
      </c>
      <c r="F854" s="5" t="s">
        <v>999</v>
      </c>
      <c r="G854" s="11" t="s">
        <v>23</v>
      </c>
      <c r="H854" s="11" t="s">
        <v>1001</v>
      </c>
      <c r="I854" s="11" t="s">
        <v>25</v>
      </c>
      <c r="J854" s="11" t="s">
        <v>26</v>
      </c>
      <c r="K854" s="52">
        <v>45446</v>
      </c>
      <c r="L854" s="52">
        <v>45704</v>
      </c>
      <c r="M854" s="5" t="s">
        <v>1000</v>
      </c>
      <c r="N854" s="5">
        <v>8312</v>
      </c>
      <c r="O854" s="55">
        <f t="shared" si="23"/>
        <v>16624</v>
      </c>
      <c r="P854" s="5" t="s">
        <v>50</v>
      </c>
      <c r="Q854" s="43" t="s">
        <v>1013</v>
      </c>
      <c r="R854" s="5">
        <v>225316608</v>
      </c>
      <c r="S854" s="5" t="s">
        <v>1014</v>
      </c>
      <c r="T854" s="28" t="s">
        <v>41</v>
      </c>
      <c r="U854" s="5"/>
    </row>
    <row r="855" spans="1:21" s="3" customFormat="1" ht="26.4" x14ac:dyDescent="0.3">
      <c r="A855" s="5" t="s">
        <v>1015</v>
      </c>
      <c r="B855" s="5" t="s">
        <v>1016</v>
      </c>
      <c r="C855" s="25" t="s">
        <v>582</v>
      </c>
      <c r="D855" s="11" t="s">
        <v>1222</v>
      </c>
      <c r="E855" s="5">
        <v>4</v>
      </c>
      <c r="F855" s="5" t="s">
        <v>999</v>
      </c>
      <c r="G855" s="11" t="s">
        <v>23</v>
      </c>
      <c r="H855" s="11" t="s">
        <v>1001</v>
      </c>
      <c r="I855" s="11" t="s">
        <v>25</v>
      </c>
      <c r="J855" s="11" t="s">
        <v>26</v>
      </c>
      <c r="K855" s="52">
        <v>45446</v>
      </c>
      <c r="L855" s="52">
        <v>45704</v>
      </c>
      <c r="M855" s="5" t="s">
        <v>1000</v>
      </c>
      <c r="N855" s="5">
        <v>8312</v>
      </c>
      <c r="O855" s="55">
        <f t="shared" si="23"/>
        <v>33248</v>
      </c>
      <c r="P855" s="5" t="s">
        <v>50</v>
      </c>
      <c r="Q855" s="43" t="s">
        <v>1013</v>
      </c>
      <c r="R855" s="5">
        <v>225316608</v>
      </c>
      <c r="S855" s="5" t="s">
        <v>1014</v>
      </c>
      <c r="T855" s="28" t="s">
        <v>41</v>
      </c>
      <c r="U855" s="5"/>
    </row>
    <row r="856" spans="1:21" s="3" customFormat="1" ht="26.4" x14ac:dyDescent="0.3">
      <c r="A856" s="5" t="s">
        <v>1015</v>
      </c>
      <c r="B856" s="5" t="s">
        <v>1016</v>
      </c>
      <c r="C856" s="25" t="s">
        <v>582</v>
      </c>
      <c r="D856" s="5" t="s">
        <v>1026</v>
      </c>
      <c r="E856" s="5">
        <v>4</v>
      </c>
      <c r="F856" s="5" t="s">
        <v>999</v>
      </c>
      <c r="G856" s="11" t="s">
        <v>23</v>
      </c>
      <c r="H856" s="11" t="s">
        <v>1001</v>
      </c>
      <c r="I856" s="11" t="s">
        <v>25</v>
      </c>
      <c r="J856" s="11" t="s">
        <v>26</v>
      </c>
      <c r="K856" s="52">
        <v>45446</v>
      </c>
      <c r="L856" s="52">
        <v>45704</v>
      </c>
      <c r="M856" s="5" t="s">
        <v>1000</v>
      </c>
      <c r="N856" s="5">
        <v>8312</v>
      </c>
      <c r="O856" s="55">
        <f t="shared" si="23"/>
        <v>33248</v>
      </c>
      <c r="P856" s="5" t="s">
        <v>50</v>
      </c>
      <c r="Q856" s="43" t="s">
        <v>1013</v>
      </c>
      <c r="R856" s="5">
        <v>225316608</v>
      </c>
      <c r="S856" s="5" t="s">
        <v>1014</v>
      </c>
      <c r="T856" s="28" t="s">
        <v>41</v>
      </c>
      <c r="U856" s="5"/>
    </row>
    <row r="857" spans="1:21" s="3" customFormat="1" ht="26.4" x14ac:dyDescent="0.3">
      <c r="A857" s="5" t="s">
        <v>1015</v>
      </c>
      <c r="B857" s="5" t="s">
        <v>1016</v>
      </c>
      <c r="C857" s="25" t="s">
        <v>582</v>
      </c>
      <c r="D857" s="5" t="s">
        <v>1028</v>
      </c>
      <c r="E857" s="5">
        <v>1</v>
      </c>
      <c r="F857" s="5" t="s">
        <v>999</v>
      </c>
      <c r="G857" s="11" t="s">
        <v>23</v>
      </c>
      <c r="H857" s="11" t="s">
        <v>1001</v>
      </c>
      <c r="I857" s="11" t="s">
        <v>25</v>
      </c>
      <c r="J857" s="11" t="s">
        <v>26</v>
      </c>
      <c r="K857" s="52">
        <v>45446</v>
      </c>
      <c r="L857" s="52">
        <v>45704</v>
      </c>
      <c r="M857" s="5" t="s">
        <v>1000</v>
      </c>
      <c r="N857" s="5">
        <v>8312</v>
      </c>
      <c r="O857" s="55">
        <f t="shared" si="23"/>
        <v>8312</v>
      </c>
      <c r="P857" s="5" t="s">
        <v>50</v>
      </c>
      <c r="Q857" s="43" t="s">
        <v>1013</v>
      </c>
      <c r="R857" s="5">
        <v>225316608</v>
      </c>
      <c r="S857" s="5" t="s">
        <v>1014</v>
      </c>
      <c r="T857" s="28" t="s">
        <v>41</v>
      </c>
      <c r="U857" s="5"/>
    </row>
    <row r="858" spans="1:21" s="3" customFormat="1" ht="26.4" x14ac:dyDescent="0.3">
      <c r="A858" s="5" t="s">
        <v>1015</v>
      </c>
      <c r="B858" s="5" t="s">
        <v>1016</v>
      </c>
      <c r="C858" s="25" t="s">
        <v>582</v>
      </c>
      <c r="D858" s="5" t="s">
        <v>1027</v>
      </c>
      <c r="E858" s="5">
        <v>1</v>
      </c>
      <c r="F858" s="5" t="s">
        <v>999</v>
      </c>
      <c r="G858" s="11" t="s">
        <v>23</v>
      </c>
      <c r="H858" s="11" t="s">
        <v>1001</v>
      </c>
      <c r="I858" s="11" t="s">
        <v>25</v>
      </c>
      <c r="J858" s="11" t="s">
        <v>26</v>
      </c>
      <c r="K858" s="52">
        <v>45446</v>
      </c>
      <c r="L858" s="52">
        <v>45704</v>
      </c>
      <c r="M858" s="5" t="s">
        <v>1000</v>
      </c>
      <c r="N858" s="5">
        <v>8312</v>
      </c>
      <c r="O858" s="55">
        <f t="shared" si="23"/>
        <v>8312</v>
      </c>
      <c r="P858" s="5" t="s">
        <v>50</v>
      </c>
      <c r="Q858" s="43" t="s">
        <v>1013</v>
      </c>
      <c r="R858" s="5">
        <v>225316608</v>
      </c>
      <c r="S858" s="5" t="s">
        <v>1014</v>
      </c>
      <c r="T858" s="28" t="s">
        <v>41</v>
      </c>
      <c r="U858" s="5"/>
    </row>
    <row r="859" spans="1:21" s="3" customFormat="1" ht="26.4" x14ac:dyDescent="0.3">
      <c r="A859" s="5" t="s">
        <v>1015</v>
      </c>
      <c r="B859" s="5" t="s">
        <v>1016</v>
      </c>
      <c r="C859" s="25" t="s">
        <v>582</v>
      </c>
      <c r="D859" s="5" t="s">
        <v>1029</v>
      </c>
      <c r="E859" s="5">
        <v>1</v>
      </c>
      <c r="F859" s="5" t="s">
        <v>999</v>
      </c>
      <c r="G859" s="11" t="s">
        <v>23</v>
      </c>
      <c r="H859" s="11" t="s">
        <v>1001</v>
      </c>
      <c r="I859" s="11" t="s">
        <v>25</v>
      </c>
      <c r="J859" s="11" t="s">
        <v>26</v>
      </c>
      <c r="K859" s="52">
        <v>45446</v>
      </c>
      <c r="L859" s="52">
        <v>45704</v>
      </c>
      <c r="M859" s="5" t="s">
        <v>1000</v>
      </c>
      <c r="N859" s="5">
        <v>8312</v>
      </c>
      <c r="O859" s="55">
        <f t="shared" si="23"/>
        <v>8312</v>
      </c>
      <c r="P859" s="5" t="s">
        <v>50</v>
      </c>
      <c r="Q859" s="43" t="s">
        <v>1013</v>
      </c>
      <c r="R859" s="5">
        <v>225316608</v>
      </c>
      <c r="S859" s="5" t="s">
        <v>1014</v>
      </c>
      <c r="T859" s="28" t="s">
        <v>41</v>
      </c>
      <c r="U859" s="5"/>
    </row>
    <row r="860" spans="1:21" s="3" customFormat="1" ht="26.4" x14ac:dyDescent="0.3">
      <c r="A860" s="5" t="s">
        <v>1015</v>
      </c>
      <c r="B860" s="5" t="s">
        <v>1016</v>
      </c>
      <c r="C860" s="25" t="s">
        <v>582</v>
      </c>
      <c r="D860" s="11" t="s">
        <v>932</v>
      </c>
      <c r="E860" s="5">
        <v>1</v>
      </c>
      <c r="F860" s="5" t="s">
        <v>999</v>
      </c>
      <c r="G860" s="11" t="s">
        <v>23</v>
      </c>
      <c r="H860" s="11" t="s">
        <v>1001</v>
      </c>
      <c r="I860" s="11" t="s">
        <v>25</v>
      </c>
      <c r="J860" s="11" t="s">
        <v>26</v>
      </c>
      <c r="K860" s="52">
        <v>45446</v>
      </c>
      <c r="L860" s="52">
        <v>45704</v>
      </c>
      <c r="M860" s="5" t="s">
        <v>1000</v>
      </c>
      <c r="N860" s="5">
        <v>8312</v>
      </c>
      <c r="O860" s="55">
        <f t="shared" si="23"/>
        <v>8312</v>
      </c>
      <c r="P860" s="5" t="s">
        <v>50</v>
      </c>
      <c r="Q860" s="43" t="s">
        <v>1013</v>
      </c>
      <c r="R860" s="5">
        <v>225316608</v>
      </c>
      <c r="S860" s="5" t="s">
        <v>1014</v>
      </c>
      <c r="T860" s="28" t="s">
        <v>41</v>
      </c>
      <c r="U860" s="5"/>
    </row>
    <row r="861" spans="1:21" s="3" customFormat="1" ht="26.4" x14ac:dyDescent="0.3">
      <c r="A861" s="5" t="s">
        <v>1015</v>
      </c>
      <c r="B861" s="5" t="s">
        <v>1016</v>
      </c>
      <c r="C861" s="25" t="s">
        <v>582</v>
      </c>
      <c r="D861" s="5" t="s">
        <v>1030</v>
      </c>
      <c r="E861" s="5">
        <v>1</v>
      </c>
      <c r="F861" s="5" t="s">
        <v>999</v>
      </c>
      <c r="G861" s="11" t="s">
        <v>23</v>
      </c>
      <c r="H861" s="11" t="s">
        <v>1001</v>
      </c>
      <c r="I861" s="11" t="s">
        <v>25</v>
      </c>
      <c r="J861" s="11" t="s">
        <v>26</v>
      </c>
      <c r="K861" s="52">
        <v>45446</v>
      </c>
      <c r="L861" s="52">
        <v>45704</v>
      </c>
      <c r="M861" s="5" t="s">
        <v>1000</v>
      </c>
      <c r="N861" s="5">
        <v>8312</v>
      </c>
      <c r="O861" s="55">
        <f t="shared" si="23"/>
        <v>8312</v>
      </c>
      <c r="P861" s="5" t="s">
        <v>50</v>
      </c>
      <c r="Q861" s="43" t="s">
        <v>1013</v>
      </c>
      <c r="R861" s="5">
        <v>225316608</v>
      </c>
      <c r="S861" s="5" t="s">
        <v>1014</v>
      </c>
      <c r="T861" s="28" t="s">
        <v>41</v>
      </c>
      <c r="U861" s="5"/>
    </row>
    <row r="862" spans="1:21" s="3" customFormat="1" ht="26.4" x14ac:dyDescent="0.3">
      <c r="A862" s="5" t="s">
        <v>1015</v>
      </c>
      <c r="B862" s="5" t="s">
        <v>1016</v>
      </c>
      <c r="C862" s="25" t="s">
        <v>582</v>
      </c>
      <c r="D862" s="5" t="s">
        <v>933</v>
      </c>
      <c r="E862" s="5">
        <v>1</v>
      </c>
      <c r="F862" s="5" t="s">
        <v>999</v>
      </c>
      <c r="G862" s="11" t="s">
        <v>23</v>
      </c>
      <c r="H862" s="11" t="s">
        <v>1001</v>
      </c>
      <c r="I862" s="11" t="s">
        <v>25</v>
      </c>
      <c r="J862" s="11" t="s">
        <v>26</v>
      </c>
      <c r="K862" s="52">
        <v>45446</v>
      </c>
      <c r="L862" s="52">
        <v>45704</v>
      </c>
      <c r="M862" s="5" t="s">
        <v>1000</v>
      </c>
      <c r="N862" s="5">
        <v>8312</v>
      </c>
      <c r="O862" s="55">
        <f t="shared" si="23"/>
        <v>8312</v>
      </c>
      <c r="P862" s="5" t="s">
        <v>50</v>
      </c>
      <c r="Q862" s="43" t="s">
        <v>1013</v>
      </c>
      <c r="R862" s="5">
        <v>225316608</v>
      </c>
      <c r="S862" s="5" t="s">
        <v>1014</v>
      </c>
      <c r="T862" s="28" t="s">
        <v>41</v>
      </c>
      <c r="U862" s="5"/>
    </row>
    <row r="863" spans="1:21" s="3" customFormat="1" ht="26.4" x14ac:dyDescent="0.3">
      <c r="A863" s="5" t="s">
        <v>1015</v>
      </c>
      <c r="B863" s="5" t="s">
        <v>1016</v>
      </c>
      <c r="C863" s="25" t="s">
        <v>582</v>
      </c>
      <c r="D863" s="5" t="s">
        <v>1031</v>
      </c>
      <c r="E863" s="5">
        <v>2</v>
      </c>
      <c r="F863" s="5" t="s">
        <v>999</v>
      </c>
      <c r="G863" s="11" t="s">
        <v>23</v>
      </c>
      <c r="H863" s="11" t="s">
        <v>1001</v>
      </c>
      <c r="I863" s="11" t="s">
        <v>25</v>
      </c>
      <c r="J863" s="11" t="s">
        <v>26</v>
      </c>
      <c r="K863" s="52">
        <v>45446</v>
      </c>
      <c r="L863" s="52">
        <v>45704</v>
      </c>
      <c r="M863" s="5" t="s">
        <v>1000</v>
      </c>
      <c r="N863" s="5">
        <v>8312</v>
      </c>
      <c r="O863" s="55">
        <f t="shared" si="23"/>
        <v>16624</v>
      </c>
      <c r="P863" s="5" t="s">
        <v>50</v>
      </c>
      <c r="Q863" s="43" t="s">
        <v>1013</v>
      </c>
      <c r="R863" s="5">
        <v>225316608</v>
      </c>
      <c r="S863" s="5" t="s">
        <v>1014</v>
      </c>
      <c r="T863" s="28" t="s">
        <v>41</v>
      </c>
      <c r="U863" s="5"/>
    </row>
    <row r="864" spans="1:21" s="3" customFormat="1" ht="26.4" x14ac:dyDescent="0.3">
      <c r="A864" s="5" t="s">
        <v>1015</v>
      </c>
      <c r="B864" s="5" t="s">
        <v>1016</v>
      </c>
      <c r="C864" s="25" t="s">
        <v>582</v>
      </c>
      <c r="D864" s="5" t="s">
        <v>1032</v>
      </c>
      <c r="E864" s="5">
        <v>2</v>
      </c>
      <c r="F864" s="5" t="s">
        <v>999</v>
      </c>
      <c r="G864" s="11" t="s">
        <v>23</v>
      </c>
      <c r="H864" s="11" t="s">
        <v>1001</v>
      </c>
      <c r="I864" s="11" t="s">
        <v>25</v>
      </c>
      <c r="J864" s="11" t="s">
        <v>26</v>
      </c>
      <c r="K864" s="52">
        <v>45446</v>
      </c>
      <c r="L864" s="52">
        <v>45704</v>
      </c>
      <c r="M864" s="5" t="s">
        <v>1000</v>
      </c>
      <c r="N864" s="5">
        <v>8312</v>
      </c>
      <c r="O864" s="55">
        <f t="shared" si="23"/>
        <v>16624</v>
      </c>
      <c r="P864" s="5" t="s">
        <v>50</v>
      </c>
      <c r="Q864" s="43" t="s">
        <v>1013</v>
      </c>
      <c r="R864" s="5">
        <v>225316608</v>
      </c>
      <c r="S864" s="5" t="s">
        <v>1014</v>
      </c>
      <c r="T864" s="28" t="s">
        <v>41</v>
      </c>
      <c r="U864" s="5"/>
    </row>
    <row r="865" spans="1:21" s="3" customFormat="1" ht="26.4" x14ac:dyDescent="0.3">
      <c r="A865" s="5" t="s">
        <v>1015</v>
      </c>
      <c r="B865" s="5" t="s">
        <v>1016</v>
      </c>
      <c r="C865" s="25" t="s">
        <v>582</v>
      </c>
      <c r="D865" s="5" t="s">
        <v>1033</v>
      </c>
      <c r="E865" s="5">
        <v>2</v>
      </c>
      <c r="F865" s="5" t="s">
        <v>999</v>
      </c>
      <c r="G865" s="11" t="s">
        <v>23</v>
      </c>
      <c r="H865" s="11" t="s">
        <v>1001</v>
      </c>
      <c r="I865" s="11" t="s">
        <v>25</v>
      </c>
      <c r="J865" s="11" t="s">
        <v>26</v>
      </c>
      <c r="K865" s="52">
        <v>45446</v>
      </c>
      <c r="L865" s="52">
        <v>45704</v>
      </c>
      <c r="M865" s="5" t="s">
        <v>1000</v>
      </c>
      <c r="N865" s="5">
        <v>8312</v>
      </c>
      <c r="O865" s="55">
        <f t="shared" si="23"/>
        <v>16624</v>
      </c>
      <c r="P865" s="5" t="s">
        <v>50</v>
      </c>
      <c r="Q865" s="43" t="s">
        <v>1013</v>
      </c>
      <c r="R865" s="5">
        <v>225316608</v>
      </c>
      <c r="S865" s="5" t="s">
        <v>1014</v>
      </c>
      <c r="T865" s="28" t="s">
        <v>41</v>
      </c>
      <c r="U865" s="5"/>
    </row>
    <row r="866" spans="1:21" s="3" customFormat="1" ht="26.4" x14ac:dyDescent="0.3">
      <c r="A866" s="5" t="s">
        <v>1015</v>
      </c>
      <c r="B866" s="5" t="s">
        <v>1016</v>
      </c>
      <c r="C866" s="25" t="s">
        <v>582</v>
      </c>
      <c r="D866" s="5" t="s">
        <v>1034</v>
      </c>
      <c r="E866" s="5">
        <v>2</v>
      </c>
      <c r="F866" s="5" t="s">
        <v>999</v>
      </c>
      <c r="G866" s="11" t="s">
        <v>23</v>
      </c>
      <c r="H866" s="11" t="s">
        <v>1001</v>
      </c>
      <c r="I866" s="11" t="s">
        <v>25</v>
      </c>
      <c r="J866" s="11" t="s">
        <v>26</v>
      </c>
      <c r="K866" s="52">
        <v>45446</v>
      </c>
      <c r="L866" s="52">
        <v>45704</v>
      </c>
      <c r="M866" s="5" t="s">
        <v>1000</v>
      </c>
      <c r="N866" s="5">
        <v>8312</v>
      </c>
      <c r="O866" s="55">
        <f t="shared" si="23"/>
        <v>16624</v>
      </c>
      <c r="P866" s="5" t="s">
        <v>50</v>
      </c>
      <c r="Q866" s="43" t="s">
        <v>1013</v>
      </c>
      <c r="R866" s="5">
        <v>225316608</v>
      </c>
      <c r="S866" s="5" t="s">
        <v>1014</v>
      </c>
      <c r="T866" s="28" t="s">
        <v>41</v>
      </c>
      <c r="U866" s="5"/>
    </row>
    <row r="867" spans="1:21" s="3" customFormat="1" ht="26.4" hidden="1" x14ac:dyDescent="0.3">
      <c r="A867" s="5" t="s">
        <v>1015</v>
      </c>
      <c r="B867" s="8" t="s">
        <v>1016</v>
      </c>
      <c r="C867" s="17" t="s">
        <v>582</v>
      </c>
      <c r="D867" s="8" t="s">
        <v>577</v>
      </c>
      <c r="E867" s="8">
        <v>1</v>
      </c>
      <c r="F867" s="5" t="s">
        <v>999</v>
      </c>
      <c r="G867" s="12" t="s">
        <v>1190</v>
      </c>
      <c r="H867" s="12" t="s">
        <v>1001</v>
      </c>
      <c r="I867" s="12" t="s">
        <v>25</v>
      </c>
      <c r="J867" s="12" t="s">
        <v>26</v>
      </c>
      <c r="K867" s="13">
        <v>45446</v>
      </c>
      <c r="L867" s="13">
        <v>45704</v>
      </c>
      <c r="M867" s="8" t="s">
        <v>1000</v>
      </c>
      <c r="N867" s="8">
        <v>8312</v>
      </c>
      <c r="O867" s="14">
        <f t="shared" si="23"/>
        <v>8312</v>
      </c>
      <c r="P867" s="12" t="s">
        <v>50</v>
      </c>
      <c r="Q867" s="7" t="s">
        <v>1013</v>
      </c>
      <c r="R867" s="8">
        <v>225316608</v>
      </c>
      <c r="S867" s="8" t="s">
        <v>1014</v>
      </c>
      <c r="T867" s="8" t="s">
        <v>41</v>
      </c>
      <c r="U867" s="8"/>
    </row>
    <row r="868" spans="1:21" s="3" customFormat="1" ht="26.4" hidden="1" x14ac:dyDescent="0.3">
      <c r="A868" s="5" t="s">
        <v>1015</v>
      </c>
      <c r="B868" s="8" t="s">
        <v>1016</v>
      </c>
      <c r="C868" s="17" t="s">
        <v>582</v>
      </c>
      <c r="D868" s="8" t="s">
        <v>577</v>
      </c>
      <c r="E868" s="8">
        <v>1</v>
      </c>
      <c r="F868" s="5" t="s">
        <v>999</v>
      </c>
      <c r="G868" s="12" t="s">
        <v>1190</v>
      </c>
      <c r="H868" s="12" t="s">
        <v>1001</v>
      </c>
      <c r="I868" s="12" t="s">
        <v>25</v>
      </c>
      <c r="J868" s="12" t="s">
        <v>26</v>
      </c>
      <c r="K868" s="13">
        <v>45446</v>
      </c>
      <c r="L868" s="13">
        <v>45704</v>
      </c>
      <c r="M868" s="8" t="s">
        <v>1000</v>
      </c>
      <c r="N868" s="8">
        <v>8312</v>
      </c>
      <c r="O868" s="14">
        <f t="shared" si="23"/>
        <v>8312</v>
      </c>
      <c r="P868" s="12" t="s">
        <v>50</v>
      </c>
      <c r="Q868" s="7" t="s">
        <v>1013</v>
      </c>
      <c r="R868" s="8">
        <v>225316608</v>
      </c>
      <c r="S868" s="8" t="s">
        <v>1014</v>
      </c>
      <c r="T868" s="8" t="s">
        <v>41</v>
      </c>
      <c r="U868" s="8"/>
    </row>
    <row r="869" spans="1:21" s="3" customFormat="1" ht="26.4" hidden="1" x14ac:dyDescent="0.3">
      <c r="A869" s="5" t="s">
        <v>1015</v>
      </c>
      <c r="B869" s="8" t="s">
        <v>1016</v>
      </c>
      <c r="C869" s="17" t="s">
        <v>582</v>
      </c>
      <c r="D869" s="8" t="s">
        <v>577</v>
      </c>
      <c r="E869" s="8">
        <v>1</v>
      </c>
      <c r="F869" s="5" t="s">
        <v>999</v>
      </c>
      <c r="G869" s="12" t="s">
        <v>1190</v>
      </c>
      <c r="H869" s="12" t="s">
        <v>1001</v>
      </c>
      <c r="I869" s="12" t="s">
        <v>25</v>
      </c>
      <c r="J869" s="12" t="s">
        <v>26</v>
      </c>
      <c r="K869" s="13">
        <v>45446</v>
      </c>
      <c r="L869" s="13">
        <v>45704</v>
      </c>
      <c r="M869" s="8" t="s">
        <v>1000</v>
      </c>
      <c r="N869" s="8">
        <v>8312</v>
      </c>
      <c r="O869" s="14">
        <f t="shared" si="23"/>
        <v>8312</v>
      </c>
      <c r="P869" s="12" t="s">
        <v>50</v>
      </c>
      <c r="Q869" s="7" t="s">
        <v>1013</v>
      </c>
      <c r="R869" s="8">
        <v>225316608</v>
      </c>
      <c r="S869" s="8" t="s">
        <v>1014</v>
      </c>
      <c r="T869" s="8" t="s">
        <v>41</v>
      </c>
      <c r="U869" s="8"/>
    </row>
    <row r="870" spans="1:21" s="3" customFormat="1" ht="26.4" hidden="1" x14ac:dyDescent="0.3">
      <c r="A870" s="5" t="s">
        <v>1015</v>
      </c>
      <c r="B870" s="8" t="s">
        <v>1016</v>
      </c>
      <c r="C870" s="17" t="s">
        <v>582</v>
      </c>
      <c r="D870" s="8" t="s">
        <v>1059</v>
      </c>
      <c r="E870" s="8">
        <v>1</v>
      </c>
      <c r="F870" s="5" t="s">
        <v>999</v>
      </c>
      <c r="G870" s="12" t="s">
        <v>1190</v>
      </c>
      <c r="H870" s="12" t="s">
        <v>1001</v>
      </c>
      <c r="I870" s="12" t="s">
        <v>25</v>
      </c>
      <c r="J870" s="12" t="s">
        <v>26</v>
      </c>
      <c r="K870" s="13">
        <v>45446</v>
      </c>
      <c r="L870" s="13">
        <v>45704</v>
      </c>
      <c r="M870" s="8" t="s">
        <v>1000</v>
      </c>
      <c r="N870" s="8">
        <v>8312</v>
      </c>
      <c r="O870" s="14">
        <f t="shared" si="23"/>
        <v>8312</v>
      </c>
      <c r="P870" s="12" t="s">
        <v>50</v>
      </c>
      <c r="Q870" s="7" t="s">
        <v>1013</v>
      </c>
      <c r="R870" s="8">
        <v>225316608</v>
      </c>
      <c r="S870" s="8" t="s">
        <v>1014</v>
      </c>
      <c r="T870" s="8" t="s">
        <v>41</v>
      </c>
      <c r="U870" s="8"/>
    </row>
    <row r="871" spans="1:21" s="3" customFormat="1" hidden="1" x14ac:dyDescent="0.3">
      <c r="A871" s="31" t="s">
        <v>1066</v>
      </c>
      <c r="B871" s="16" t="s">
        <v>1088</v>
      </c>
      <c r="C871" s="16" t="s">
        <v>37</v>
      </c>
      <c r="D871" s="16" t="s">
        <v>998</v>
      </c>
      <c r="E871" s="8">
        <v>1</v>
      </c>
      <c r="F871" s="5" t="s">
        <v>588</v>
      </c>
      <c r="G871" s="12" t="s">
        <v>998</v>
      </c>
      <c r="H871" s="8" t="s">
        <v>408</v>
      </c>
      <c r="I871" s="16" t="s">
        <v>25</v>
      </c>
      <c r="J871" s="16"/>
      <c r="K871" s="22">
        <v>42632</v>
      </c>
      <c r="L871" s="13">
        <v>45704</v>
      </c>
      <c r="M871" s="8"/>
      <c r="N871" s="23">
        <v>9152</v>
      </c>
      <c r="O871" s="14">
        <f t="shared" ref="O871:O885" si="24">N871*E871</f>
        <v>9152</v>
      </c>
      <c r="P871" s="16" t="s">
        <v>73</v>
      </c>
      <c r="Q871" s="8" t="s">
        <v>585</v>
      </c>
      <c r="R871" s="8" t="s">
        <v>586</v>
      </c>
      <c r="S871" s="8" t="s">
        <v>37</v>
      </c>
      <c r="T871" s="16"/>
      <c r="U871" s="16"/>
    </row>
    <row r="872" spans="1:21" s="3" customFormat="1" hidden="1" x14ac:dyDescent="0.3">
      <c r="A872" s="5" t="s">
        <v>500</v>
      </c>
      <c r="B872" s="8" t="s">
        <v>1036</v>
      </c>
      <c r="C872" s="16" t="s">
        <v>37</v>
      </c>
      <c r="D872" s="16" t="s">
        <v>1072</v>
      </c>
      <c r="E872" s="8">
        <v>1</v>
      </c>
      <c r="F872" s="5" t="s">
        <v>1044</v>
      </c>
      <c r="G872" s="12" t="s">
        <v>1190</v>
      </c>
      <c r="H872" s="8" t="s">
        <v>426</v>
      </c>
      <c r="I872" s="16" t="s">
        <v>25</v>
      </c>
      <c r="J872" s="16" t="s">
        <v>26</v>
      </c>
      <c r="K872" s="22">
        <v>42985</v>
      </c>
      <c r="L872" s="13">
        <v>45704</v>
      </c>
      <c r="M872" s="8" t="s">
        <v>1047</v>
      </c>
      <c r="N872" s="23">
        <v>13216</v>
      </c>
      <c r="O872" s="14">
        <f t="shared" si="24"/>
        <v>13216</v>
      </c>
      <c r="P872" s="16" t="s">
        <v>73</v>
      </c>
      <c r="Q872" s="8" t="s">
        <v>1050</v>
      </c>
      <c r="R872" s="8" t="s">
        <v>1051</v>
      </c>
      <c r="S872" s="8" t="s">
        <v>1052</v>
      </c>
      <c r="T872" s="16" t="s">
        <v>538</v>
      </c>
      <c r="U872" s="16"/>
    </row>
    <row r="873" spans="1:21" s="3" customFormat="1" ht="26.4" hidden="1" x14ac:dyDescent="0.3">
      <c r="A873" s="5" t="s">
        <v>1037</v>
      </c>
      <c r="B873" s="8" t="s">
        <v>1038</v>
      </c>
      <c r="C873" s="16" t="s">
        <v>37</v>
      </c>
      <c r="D873" s="16" t="s">
        <v>998</v>
      </c>
      <c r="E873" s="8">
        <v>1</v>
      </c>
      <c r="F873" s="5" t="s">
        <v>1045</v>
      </c>
      <c r="G873" s="12" t="s">
        <v>998</v>
      </c>
      <c r="H873" s="8" t="s">
        <v>1046</v>
      </c>
      <c r="I873" s="16" t="s">
        <v>25</v>
      </c>
      <c r="J873" s="16"/>
      <c r="K873" s="22">
        <v>43549</v>
      </c>
      <c r="L873" s="13">
        <v>45704</v>
      </c>
      <c r="M873" s="8" t="s">
        <v>1048</v>
      </c>
      <c r="N873" s="23">
        <v>131831.5</v>
      </c>
      <c r="O873" s="14">
        <f t="shared" si="24"/>
        <v>131831.5</v>
      </c>
      <c r="P873" s="16" t="s">
        <v>1103</v>
      </c>
      <c r="Q873" s="16" t="s">
        <v>37</v>
      </c>
      <c r="R873" s="16" t="s">
        <v>37</v>
      </c>
      <c r="S873" s="16" t="s">
        <v>37</v>
      </c>
      <c r="T873" s="16" t="s">
        <v>1144</v>
      </c>
      <c r="U873" s="16"/>
    </row>
    <row r="874" spans="1:21" s="3" customFormat="1" hidden="1" x14ac:dyDescent="0.3">
      <c r="A874" s="5" t="s">
        <v>1060</v>
      </c>
      <c r="B874" s="8" t="s">
        <v>1041</v>
      </c>
      <c r="C874" s="16" t="s">
        <v>37</v>
      </c>
      <c r="D874" s="16" t="s">
        <v>998</v>
      </c>
      <c r="E874" s="8">
        <v>1</v>
      </c>
      <c r="F874" s="32" t="s">
        <v>37</v>
      </c>
      <c r="G874" s="12" t="s">
        <v>998</v>
      </c>
      <c r="H874" s="8" t="s">
        <v>426</v>
      </c>
      <c r="I874" s="16" t="s">
        <v>25</v>
      </c>
      <c r="J874" s="16"/>
      <c r="K874" s="22">
        <v>43676</v>
      </c>
      <c r="L874" s="13">
        <v>45704</v>
      </c>
      <c r="M874" s="8" t="s">
        <v>592</v>
      </c>
      <c r="N874" s="23">
        <v>40800</v>
      </c>
      <c r="O874" s="14">
        <f t="shared" si="24"/>
        <v>40800</v>
      </c>
      <c r="P874" s="16" t="s">
        <v>73</v>
      </c>
      <c r="Q874" s="16" t="s">
        <v>37</v>
      </c>
      <c r="R874" s="16" t="s">
        <v>37</v>
      </c>
      <c r="S874" s="16" t="s">
        <v>37</v>
      </c>
      <c r="T874" s="16" t="s">
        <v>37</v>
      </c>
      <c r="U874" s="16"/>
    </row>
    <row r="875" spans="1:21" s="3" customFormat="1" ht="66" hidden="1" x14ac:dyDescent="0.3">
      <c r="A875" s="5" t="s">
        <v>1042</v>
      </c>
      <c r="B875" s="8" t="s">
        <v>1043</v>
      </c>
      <c r="C875" s="16" t="s">
        <v>37</v>
      </c>
      <c r="D875" s="16" t="s">
        <v>998</v>
      </c>
      <c r="E875" s="8">
        <v>1</v>
      </c>
      <c r="F875" s="5" t="s">
        <v>83</v>
      </c>
      <c r="G875" s="12" t="s">
        <v>998</v>
      </c>
      <c r="H875" s="8" t="s">
        <v>311</v>
      </c>
      <c r="I875" s="16" t="s">
        <v>25</v>
      </c>
      <c r="J875" s="16"/>
      <c r="K875" s="22">
        <v>43021</v>
      </c>
      <c r="L875" s="13">
        <v>45704</v>
      </c>
      <c r="M875" s="8" t="s">
        <v>1049</v>
      </c>
      <c r="N875" s="23">
        <v>1418438</v>
      </c>
      <c r="O875" s="14">
        <f t="shared" si="24"/>
        <v>1418438</v>
      </c>
      <c r="P875" s="16" t="s">
        <v>1103</v>
      </c>
      <c r="Q875" s="7" t="s">
        <v>978</v>
      </c>
      <c r="R875" s="8">
        <v>7719007222</v>
      </c>
      <c r="S875" s="8" t="s">
        <v>979</v>
      </c>
      <c r="T875" s="16" t="s">
        <v>397</v>
      </c>
      <c r="U875" s="16"/>
    </row>
    <row r="876" spans="1:21" s="3" customFormat="1" ht="26.4" hidden="1" x14ac:dyDescent="0.3">
      <c r="A876" s="26" t="s">
        <v>1053</v>
      </c>
      <c r="B876" s="20" t="s">
        <v>1054</v>
      </c>
      <c r="C876" s="20" t="s">
        <v>1055</v>
      </c>
      <c r="D876" s="16" t="s">
        <v>998</v>
      </c>
      <c r="E876" s="20">
        <v>1</v>
      </c>
      <c r="F876" s="26" t="s">
        <v>1056</v>
      </c>
      <c r="G876" s="12" t="s">
        <v>998</v>
      </c>
      <c r="H876" s="8" t="s">
        <v>580</v>
      </c>
      <c r="I876" s="16" t="s">
        <v>25</v>
      </c>
      <c r="J876" s="16"/>
      <c r="K876" s="36">
        <v>45019</v>
      </c>
      <c r="L876" s="36">
        <v>46029</v>
      </c>
      <c r="M876" s="20">
        <v>12</v>
      </c>
      <c r="N876" s="20">
        <v>61891</v>
      </c>
      <c r="O876" s="14">
        <f t="shared" si="24"/>
        <v>61891</v>
      </c>
      <c r="P876" s="16" t="s">
        <v>73</v>
      </c>
      <c r="Q876" s="7" t="s">
        <v>1057</v>
      </c>
      <c r="R876" s="8">
        <v>9324031853</v>
      </c>
      <c r="S876" s="8" t="s">
        <v>1058</v>
      </c>
      <c r="T876" s="16" t="s">
        <v>37</v>
      </c>
      <c r="U876" s="16"/>
    </row>
    <row r="877" spans="1:21" s="3" customFormat="1" ht="26.4" hidden="1" x14ac:dyDescent="0.3">
      <c r="A877" s="31" t="s">
        <v>1060</v>
      </c>
      <c r="B877" s="16" t="s">
        <v>1061</v>
      </c>
      <c r="C877" s="16" t="s">
        <v>529</v>
      </c>
      <c r="D877" s="16" t="s">
        <v>1062</v>
      </c>
      <c r="E877" s="16">
        <v>1</v>
      </c>
      <c r="F877" s="5" t="s">
        <v>425</v>
      </c>
      <c r="G877" s="12" t="s">
        <v>1190</v>
      </c>
      <c r="H877" s="16" t="s">
        <v>426</v>
      </c>
      <c r="I877" s="16" t="s">
        <v>25</v>
      </c>
      <c r="J877" s="16" t="s">
        <v>26</v>
      </c>
      <c r="K877" s="13">
        <v>45495</v>
      </c>
      <c r="L877" s="18">
        <v>46070</v>
      </c>
      <c r="M877" s="8" t="s">
        <v>498</v>
      </c>
      <c r="N877" s="8">
        <v>52100</v>
      </c>
      <c r="O877" s="14">
        <f t="shared" si="24"/>
        <v>52100</v>
      </c>
      <c r="P877" s="16" t="s">
        <v>73</v>
      </c>
      <c r="Q877" s="7" t="s">
        <v>428</v>
      </c>
      <c r="R877" s="8" t="s">
        <v>429</v>
      </c>
      <c r="S877" s="8" t="s">
        <v>430</v>
      </c>
      <c r="T877" s="8" t="s">
        <v>942</v>
      </c>
      <c r="U877" s="16"/>
    </row>
    <row r="878" spans="1:21" s="3" customFormat="1" ht="26.4" hidden="1" x14ac:dyDescent="0.3">
      <c r="A878" s="5" t="s">
        <v>505</v>
      </c>
      <c r="B878" s="8" t="s">
        <v>1099</v>
      </c>
      <c r="C878" s="12" t="s">
        <v>446</v>
      </c>
      <c r="D878" s="8" t="s">
        <v>1062</v>
      </c>
      <c r="E878" s="8">
        <v>1</v>
      </c>
      <c r="F878" s="5" t="s">
        <v>425</v>
      </c>
      <c r="G878" s="12" t="s">
        <v>1190</v>
      </c>
      <c r="H878" s="8" t="s">
        <v>426</v>
      </c>
      <c r="I878" s="12" t="s">
        <v>25</v>
      </c>
      <c r="J878" s="12" t="s">
        <v>26</v>
      </c>
      <c r="K878" s="13">
        <v>45512</v>
      </c>
      <c r="L878" s="15">
        <v>46215</v>
      </c>
      <c r="M878" s="8" t="s">
        <v>1093</v>
      </c>
      <c r="N878" s="8">
        <v>5600</v>
      </c>
      <c r="O878" s="14">
        <f t="shared" si="24"/>
        <v>5600</v>
      </c>
      <c r="P878" s="12" t="s">
        <v>50</v>
      </c>
      <c r="Q878" s="7" t="s">
        <v>428</v>
      </c>
      <c r="R878" s="8" t="s">
        <v>429</v>
      </c>
      <c r="S878" s="8" t="s">
        <v>430</v>
      </c>
      <c r="T878" s="8" t="s">
        <v>41</v>
      </c>
      <c r="U878" s="8"/>
    </row>
    <row r="879" spans="1:21" s="3" customFormat="1" ht="26.4" hidden="1" x14ac:dyDescent="0.3">
      <c r="A879" s="5" t="s">
        <v>510</v>
      </c>
      <c r="B879" s="5" t="s">
        <v>1064</v>
      </c>
      <c r="C879" s="8" t="s">
        <v>512</v>
      </c>
      <c r="D879" s="8" t="s">
        <v>1062</v>
      </c>
      <c r="E879" s="8">
        <v>4</v>
      </c>
      <c r="F879" s="28" t="s">
        <v>821</v>
      </c>
      <c r="G879" s="12" t="s">
        <v>1189</v>
      </c>
      <c r="H879" s="8" t="s">
        <v>580</v>
      </c>
      <c r="I879" s="8" t="s">
        <v>25</v>
      </c>
      <c r="J879" s="8" t="s">
        <v>26</v>
      </c>
      <c r="K879" s="13">
        <v>44987</v>
      </c>
      <c r="L879" s="13">
        <v>46084</v>
      </c>
      <c r="M879" s="8" t="s">
        <v>1221</v>
      </c>
      <c r="N879" s="8">
        <v>5000</v>
      </c>
      <c r="O879" s="14">
        <f t="shared" si="24"/>
        <v>20000</v>
      </c>
      <c r="P879" s="8" t="s">
        <v>73</v>
      </c>
      <c r="Q879" s="8" t="s">
        <v>823</v>
      </c>
      <c r="R879" s="8">
        <v>9820797926</v>
      </c>
      <c r="S879" s="9" t="s">
        <v>824</v>
      </c>
      <c r="T879" s="8" t="s">
        <v>41</v>
      </c>
      <c r="U879" s="8"/>
    </row>
    <row r="880" spans="1:21" s="3" customFormat="1" ht="26.4" hidden="1" x14ac:dyDescent="0.3">
      <c r="A880" s="31" t="s">
        <v>510</v>
      </c>
      <c r="B880" s="16" t="s">
        <v>1184</v>
      </c>
      <c r="C880" s="16" t="s">
        <v>37</v>
      </c>
      <c r="D880" s="16" t="s">
        <v>1062</v>
      </c>
      <c r="E880" s="16">
        <v>1</v>
      </c>
      <c r="F880" s="5" t="s">
        <v>407</v>
      </c>
      <c r="G880" s="12" t="s">
        <v>1190</v>
      </c>
      <c r="H880" s="8" t="s">
        <v>408</v>
      </c>
      <c r="I880" s="16" t="s">
        <v>25</v>
      </c>
      <c r="J880" s="16" t="s">
        <v>26</v>
      </c>
      <c r="K880" s="22">
        <v>43115</v>
      </c>
      <c r="L880" s="13">
        <v>46070</v>
      </c>
      <c r="M880" s="8">
        <v>2743</v>
      </c>
      <c r="N880" s="23">
        <v>9756.003999999999</v>
      </c>
      <c r="O880" s="14">
        <f t="shared" si="24"/>
        <v>9756.003999999999</v>
      </c>
      <c r="P880" s="16" t="s">
        <v>73</v>
      </c>
      <c r="Q880" s="7" t="s">
        <v>409</v>
      </c>
      <c r="R880" s="8">
        <v>9930806006</v>
      </c>
      <c r="S880" s="8" t="s">
        <v>410</v>
      </c>
      <c r="T880" s="16" t="s">
        <v>37</v>
      </c>
      <c r="U880" s="16"/>
    </row>
    <row r="881" spans="1:21" s="3" customFormat="1" ht="26.4" hidden="1" x14ac:dyDescent="0.3">
      <c r="A881" s="31" t="s">
        <v>510</v>
      </c>
      <c r="B881" s="16" t="s">
        <v>1184</v>
      </c>
      <c r="C881" s="16" t="s">
        <v>1065</v>
      </c>
      <c r="D881" s="16" t="s">
        <v>1062</v>
      </c>
      <c r="E881" s="16">
        <v>1</v>
      </c>
      <c r="F881" s="5" t="s">
        <v>407</v>
      </c>
      <c r="G881" s="12" t="s">
        <v>1190</v>
      </c>
      <c r="H881" s="8" t="s">
        <v>408</v>
      </c>
      <c r="I881" s="16" t="s">
        <v>25</v>
      </c>
      <c r="J881" s="16" t="s">
        <v>26</v>
      </c>
      <c r="K881" s="22">
        <v>43115</v>
      </c>
      <c r="L881" s="13">
        <v>46070</v>
      </c>
      <c r="M881" s="8">
        <v>2743</v>
      </c>
      <c r="N881" s="23">
        <v>9756.003999999999</v>
      </c>
      <c r="O881" s="14">
        <f t="shared" si="24"/>
        <v>9756.003999999999</v>
      </c>
      <c r="P881" s="16" t="s">
        <v>73</v>
      </c>
      <c r="Q881" s="7" t="s">
        <v>409</v>
      </c>
      <c r="R881" s="8">
        <v>9930806006</v>
      </c>
      <c r="S881" s="8" t="s">
        <v>410</v>
      </c>
      <c r="T881" s="16" t="s">
        <v>37</v>
      </c>
      <c r="U881" s="16"/>
    </row>
    <row r="882" spans="1:21" s="3" customFormat="1" ht="26.4" hidden="1" x14ac:dyDescent="0.3">
      <c r="A882" s="5" t="s">
        <v>1211</v>
      </c>
      <c r="B882" s="5" t="s">
        <v>1212</v>
      </c>
      <c r="C882" s="8" t="s">
        <v>416</v>
      </c>
      <c r="D882" s="8" t="s">
        <v>1062</v>
      </c>
      <c r="E882" s="8">
        <v>1</v>
      </c>
      <c r="F882" s="5" t="s">
        <v>1196</v>
      </c>
      <c r="G882" s="12" t="s">
        <v>1189</v>
      </c>
      <c r="H882" s="8" t="s">
        <v>408</v>
      </c>
      <c r="I882" s="8" t="s">
        <v>25</v>
      </c>
      <c r="J882" s="8" t="s">
        <v>26</v>
      </c>
      <c r="K882" s="13">
        <v>41867</v>
      </c>
      <c r="L882" s="13">
        <v>46084</v>
      </c>
      <c r="M882" s="8" t="s">
        <v>1213</v>
      </c>
      <c r="N882" s="14">
        <v>6920</v>
      </c>
      <c r="O882" s="14">
        <f t="shared" si="24"/>
        <v>6920</v>
      </c>
      <c r="P882" s="8" t="s">
        <v>73</v>
      </c>
      <c r="Q882" s="8" t="s">
        <v>1197</v>
      </c>
      <c r="R882" s="8" t="s">
        <v>586</v>
      </c>
      <c r="S882" s="8" t="s">
        <v>1198</v>
      </c>
      <c r="T882" s="8"/>
      <c r="U882" s="8"/>
    </row>
    <row r="883" spans="1:21" s="3" customFormat="1" hidden="1" x14ac:dyDescent="0.3">
      <c r="A883" s="5" t="s">
        <v>412</v>
      </c>
      <c r="B883" s="5" t="s">
        <v>1067</v>
      </c>
      <c r="C883" s="8" t="s">
        <v>436</v>
      </c>
      <c r="D883" s="8" t="s">
        <v>1062</v>
      </c>
      <c r="E883" s="8">
        <v>1</v>
      </c>
      <c r="F883" s="5"/>
      <c r="G883" s="12" t="s">
        <v>1189</v>
      </c>
      <c r="H883" s="8" t="s">
        <v>580</v>
      </c>
      <c r="I883" s="8"/>
      <c r="J883" s="8" t="s">
        <v>26</v>
      </c>
      <c r="K883" s="8"/>
      <c r="L883" s="8"/>
      <c r="M883" s="8"/>
      <c r="N883" s="8"/>
      <c r="O883" s="14">
        <f t="shared" si="24"/>
        <v>0</v>
      </c>
      <c r="P883" s="8"/>
      <c r="Q883" s="8"/>
      <c r="R883" s="8"/>
      <c r="S883" s="8"/>
      <c r="T883" s="8"/>
      <c r="U883" s="8"/>
    </row>
    <row r="884" spans="1:21" s="3" customFormat="1" ht="26.4" hidden="1" x14ac:dyDescent="0.3">
      <c r="A884" s="31" t="s">
        <v>1068</v>
      </c>
      <c r="B884" s="8" t="s">
        <v>1039</v>
      </c>
      <c r="C884" s="16" t="s">
        <v>37</v>
      </c>
      <c r="D884" s="16" t="s">
        <v>1062</v>
      </c>
      <c r="E884" s="16">
        <v>1</v>
      </c>
      <c r="F884" s="5" t="s">
        <v>407</v>
      </c>
      <c r="G884" s="12" t="s">
        <v>1190</v>
      </c>
      <c r="H884" s="8" t="s">
        <v>408</v>
      </c>
      <c r="I884" s="16" t="s">
        <v>25</v>
      </c>
      <c r="J884" s="16" t="s">
        <v>26</v>
      </c>
      <c r="K884" s="22">
        <v>43111</v>
      </c>
      <c r="L884" s="13">
        <v>46070</v>
      </c>
      <c r="M884" s="8">
        <v>2743</v>
      </c>
      <c r="N884" s="23">
        <v>28154</v>
      </c>
      <c r="O884" s="14">
        <f t="shared" si="24"/>
        <v>28154</v>
      </c>
      <c r="P884" s="16" t="s">
        <v>73</v>
      </c>
      <c r="Q884" s="7" t="s">
        <v>409</v>
      </c>
      <c r="R884" s="8">
        <v>9930806006</v>
      </c>
      <c r="S884" s="8" t="s">
        <v>410</v>
      </c>
      <c r="T884" s="16" t="s">
        <v>37</v>
      </c>
      <c r="U884" s="16"/>
    </row>
    <row r="885" spans="1:21" s="3" customFormat="1" hidden="1" x14ac:dyDescent="0.3">
      <c r="A885" s="31" t="s">
        <v>500</v>
      </c>
      <c r="B885" s="8" t="s">
        <v>1090</v>
      </c>
      <c r="C885" s="16" t="s">
        <v>424</v>
      </c>
      <c r="D885" s="16" t="s">
        <v>1062</v>
      </c>
      <c r="E885" s="16">
        <v>1</v>
      </c>
      <c r="F885" s="5" t="s">
        <v>531</v>
      </c>
      <c r="G885" s="12" t="s">
        <v>1190</v>
      </c>
      <c r="H885" s="16" t="s">
        <v>426</v>
      </c>
      <c r="I885" s="16" t="s">
        <v>25</v>
      </c>
      <c r="J885" s="16" t="s">
        <v>26</v>
      </c>
      <c r="K885" s="13">
        <v>44620</v>
      </c>
      <c r="L885" s="18">
        <v>46070</v>
      </c>
      <c r="M885" s="8" t="s">
        <v>532</v>
      </c>
      <c r="N885" s="8">
        <v>16556</v>
      </c>
      <c r="O885" s="14">
        <f t="shared" si="24"/>
        <v>16556</v>
      </c>
      <c r="P885" s="16" t="s">
        <v>73</v>
      </c>
      <c r="Q885" s="8" t="s">
        <v>37</v>
      </c>
      <c r="R885" s="8" t="s">
        <v>37</v>
      </c>
      <c r="S885" s="8" t="s">
        <v>525</v>
      </c>
      <c r="T885" s="16" t="s">
        <v>1101</v>
      </c>
      <c r="U885" s="16"/>
    </row>
    <row r="886" spans="1:21" s="3" customFormat="1" hidden="1" x14ac:dyDescent="0.3">
      <c r="A886" s="5" t="s">
        <v>518</v>
      </c>
      <c r="B886" s="5" t="s">
        <v>1069</v>
      </c>
      <c r="C886" s="8" t="s">
        <v>1070</v>
      </c>
      <c r="D886" s="8" t="s">
        <v>1062</v>
      </c>
      <c r="E886" s="8">
        <v>1</v>
      </c>
      <c r="F886" s="5"/>
      <c r="G886" s="12" t="s">
        <v>1189</v>
      </c>
      <c r="H886" s="8" t="s">
        <v>311</v>
      </c>
      <c r="I886" s="12" t="s">
        <v>25</v>
      </c>
      <c r="J886" s="8" t="s">
        <v>26</v>
      </c>
      <c r="K886" s="15"/>
      <c r="L886" s="15"/>
      <c r="M886" s="12"/>
      <c r="N886" s="12"/>
      <c r="O886" s="14"/>
      <c r="P886" s="8"/>
      <c r="Q886" s="43"/>
      <c r="R886" s="5"/>
      <c r="S886" s="5"/>
      <c r="T886" s="12"/>
      <c r="U886" s="8"/>
    </row>
    <row r="887" spans="1:21" s="3" customFormat="1" hidden="1" x14ac:dyDescent="0.3">
      <c r="A887" s="31" t="s">
        <v>500</v>
      </c>
      <c r="B887" s="16" t="s">
        <v>1071</v>
      </c>
      <c r="C887" s="16" t="s">
        <v>502</v>
      </c>
      <c r="D887" s="16" t="s">
        <v>1062</v>
      </c>
      <c r="E887" s="16">
        <v>1</v>
      </c>
      <c r="F887" s="31" t="s">
        <v>9</v>
      </c>
      <c r="G887" s="12" t="s">
        <v>1190</v>
      </c>
      <c r="H887" s="16" t="s">
        <v>426</v>
      </c>
      <c r="I887" s="16" t="s">
        <v>25</v>
      </c>
      <c r="J887" s="16" t="s">
        <v>72</v>
      </c>
      <c r="K887" s="16" t="s">
        <v>37</v>
      </c>
      <c r="L887" s="16" t="s">
        <v>37</v>
      </c>
      <c r="M887" s="16" t="s">
        <v>37</v>
      </c>
      <c r="N887" s="16">
        <v>0</v>
      </c>
      <c r="O887" s="14">
        <f t="shared" ref="O887:O910" si="25">N887*E887</f>
        <v>0</v>
      </c>
      <c r="P887" s="16" t="s">
        <v>312</v>
      </c>
      <c r="Q887" s="16" t="s">
        <v>37</v>
      </c>
      <c r="R887" s="16" t="s">
        <v>37</v>
      </c>
      <c r="S887" s="16" t="s">
        <v>37</v>
      </c>
      <c r="T887" s="16" t="s">
        <v>37</v>
      </c>
      <c r="U887" s="16"/>
    </row>
    <row r="888" spans="1:21" s="3" customFormat="1" ht="26.4" hidden="1" x14ac:dyDescent="0.3">
      <c r="A888" s="31" t="s">
        <v>1073</v>
      </c>
      <c r="B888" s="16" t="s">
        <v>1184</v>
      </c>
      <c r="C888" s="16" t="s">
        <v>1065</v>
      </c>
      <c r="D888" s="16" t="s">
        <v>1072</v>
      </c>
      <c r="E888" s="16">
        <v>2</v>
      </c>
      <c r="F888" s="5" t="s">
        <v>407</v>
      </c>
      <c r="G888" s="12" t="s">
        <v>1190</v>
      </c>
      <c r="H888" s="8" t="s">
        <v>408</v>
      </c>
      <c r="I888" s="16" t="s">
        <v>25</v>
      </c>
      <c r="J888" s="16" t="s">
        <v>26</v>
      </c>
      <c r="K888" s="22">
        <v>43115</v>
      </c>
      <c r="L888" s="13">
        <v>46070</v>
      </c>
      <c r="M888" s="8">
        <v>2743</v>
      </c>
      <c r="N888" s="23">
        <v>9756.003999999999</v>
      </c>
      <c r="O888" s="14">
        <f t="shared" si="25"/>
        <v>19512.007999999998</v>
      </c>
      <c r="P888" s="16" t="s">
        <v>73</v>
      </c>
      <c r="Q888" s="7" t="s">
        <v>409</v>
      </c>
      <c r="R888" s="8">
        <v>9930806006</v>
      </c>
      <c r="S888" s="8" t="s">
        <v>410</v>
      </c>
      <c r="T888" s="16" t="s">
        <v>37</v>
      </c>
      <c r="U888" s="16"/>
    </row>
    <row r="889" spans="1:21" s="3" customFormat="1" ht="26.4" hidden="1" x14ac:dyDescent="0.3">
      <c r="A889" s="31" t="s">
        <v>1068</v>
      </c>
      <c r="B889" s="8" t="s">
        <v>1040</v>
      </c>
      <c r="C889" s="16" t="s">
        <v>1183</v>
      </c>
      <c r="D889" s="16" t="s">
        <v>1072</v>
      </c>
      <c r="E889" s="16">
        <v>1</v>
      </c>
      <c r="F889" s="5" t="s">
        <v>407</v>
      </c>
      <c r="G889" s="12" t="s">
        <v>1190</v>
      </c>
      <c r="H889" s="8" t="s">
        <v>408</v>
      </c>
      <c r="I889" s="16" t="s">
        <v>25</v>
      </c>
      <c r="J889" s="16" t="s">
        <v>26</v>
      </c>
      <c r="K889" s="22">
        <v>43111</v>
      </c>
      <c r="L889" s="13">
        <v>46076</v>
      </c>
      <c r="M889" s="8">
        <v>2743</v>
      </c>
      <c r="N889" s="23">
        <v>19748.873333333333</v>
      </c>
      <c r="O889" s="14">
        <f t="shared" si="25"/>
        <v>19748.873333333333</v>
      </c>
      <c r="P889" s="16" t="s">
        <v>73</v>
      </c>
      <c r="Q889" s="7" t="s">
        <v>409</v>
      </c>
      <c r="R889" s="8">
        <v>9930806006</v>
      </c>
      <c r="S889" s="8" t="s">
        <v>410</v>
      </c>
      <c r="T889" s="16" t="s">
        <v>37</v>
      </c>
      <c r="U889" s="16"/>
    </row>
    <row r="890" spans="1:21" s="3" customFormat="1" ht="26.4" hidden="1" x14ac:dyDescent="0.3">
      <c r="A890" s="31" t="s">
        <v>1060</v>
      </c>
      <c r="B890" s="16" t="s">
        <v>1061</v>
      </c>
      <c r="C890" s="16" t="s">
        <v>529</v>
      </c>
      <c r="D890" s="16" t="s">
        <v>1072</v>
      </c>
      <c r="E890" s="16">
        <v>3</v>
      </c>
      <c r="F890" s="5" t="s">
        <v>425</v>
      </c>
      <c r="G890" s="12" t="s">
        <v>1190</v>
      </c>
      <c r="H890" s="16" t="s">
        <v>426</v>
      </c>
      <c r="I890" s="16" t="s">
        <v>25</v>
      </c>
      <c r="J890" s="16" t="s">
        <v>26</v>
      </c>
      <c r="K890" s="13">
        <v>45495</v>
      </c>
      <c r="L890" s="18">
        <v>46070</v>
      </c>
      <c r="M890" s="8" t="s">
        <v>498</v>
      </c>
      <c r="N890" s="8">
        <v>52100</v>
      </c>
      <c r="O890" s="14">
        <f t="shared" si="25"/>
        <v>156300</v>
      </c>
      <c r="P890" s="16" t="s">
        <v>73</v>
      </c>
      <c r="Q890" s="7" t="s">
        <v>428</v>
      </c>
      <c r="R890" s="8" t="s">
        <v>429</v>
      </c>
      <c r="S890" s="8" t="s">
        <v>430</v>
      </c>
      <c r="T890" s="8" t="s">
        <v>942</v>
      </c>
      <c r="U890" s="16"/>
    </row>
    <row r="891" spans="1:21" s="3" customFormat="1" ht="26.4" hidden="1" x14ac:dyDescent="0.3">
      <c r="A891" s="5" t="s">
        <v>510</v>
      </c>
      <c r="B891" s="5" t="s">
        <v>1064</v>
      </c>
      <c r="C891" s="8" t="s">
        <v>512</v>
      </c>
      <c r="D891" s="8" t="s">
        <v>1072</v>
      </c>
      <c r="E891" s="8">
        <v>3</v>
      </c>
      <c r="F891" s="28" t="s">
        <v>821</v>
      </c>
      <c r="G891" s="12" t="s">
        <v>1189</v>
      </c>
      <c r="H891" s="8" t="s">
        <v>408</v>
      </c>
      <c r="I891" s="8" t="s">
        <v>25</v>
      </c>
      <c r="J891" s="8" t="s">
        <v>26</v>
      </c>
      <c r="K891" s="13">
        <v>44987</v>
      </c>
      <c r="L891" s="13">
        <v>46084</v>
      </c>
      <c r="M891" s="8" t="s">
        <v>1221</v>
      </c>
      <c r="N891" s="8">
        <v>5000</v>
      </c>
      <c r="O891" s="14">
        <f t="shared" si="25"/>
        <v>15000</v>
      </c>
      <c r="P891" s="8" t="s">
        <v>73</v>
      </c>
      <c r="Q891" s="8" t="s">
        <v>823</v>
      </c>
      <c r="R891" s="8">
        <v>9820797926</v>
      </c>
      <c r="S891" s="9" t="s">
        <v>824</v>
      </c>
      <c r="T891" s="8"/>
      <c r="U891" s="8"/>
    </row>
    <row r="892" spans="1:21" s="16" customFormat="1" ht="26.4" hidden="1" x14ac:dyDescent="0.3">
      <c r="A892" s="5" t="s">
        <v>510</v>
      </c>
      <c r="B892" s="5" t="s">
        <v>1075</v>
      </c>
      <c r="C892" s="8" t="s">
        <v>1074</v>
      </c>
      <c r="D892" s="8" t="s">
        <v>1072</v>
      </c>
      <c r="E892" s="8">
        <v>1</v>
      </c>
      <c r="F892" s="5" t="s">
        <v>513</v>
      </c>
      <c r="G892" s="12" t="s">
        <v>1189</v>
      </c>
      <c r="H892" s="8" t="s">
        <v>408</v>
      </c>
      <c r="I892" s="8" t="s">
        <v>25</v>
      </c>
      <c r="J892" s="8" t="s">
        <v>26</v>
      </c>
      <c r="K892" s="13">
        <v>42704</v>
      </c>
      <c r="L892" s="13">
        <v>46084</v>
      </c>
      <c r="M892" s="8" t="s">
        <v>37</v>
      </c>
      <c r="N892" s="8">
        <v>9563</v>
      </c>
      <c r="O892" s="14">
        <f t="shared" si="25"/>
        <v>9563</v>
      </c>
      <c r="P892" s="8" t="s">
        <v>73</v>
      </c>
      <c r="Q892" s="7" t="s">
        <v>409</v>
      </c>
      <c r="R892" s="8">
        <v>9930806006</v>
      </c>
      <c r="S892" s="8" t="s">
        <v>410</v>
      </c>
      <c r="T892" s="8"/>
      <c r="U892" s="8"/>
    </row>
    <row r="893" spans="1:21" s="3" customFormat="1" hidden="1" x14ac:dyDescent="0.3">
      <c r="A893" s="5" t="s">
        <v>412</v>
      </c>
      <c r="B893" s="5" t="s">
        <v>1067</v>
      </c>
      <c r="C893" s="8" t="s">
        <v>436</v>
      </c>
      <c r="D893" s="8" t="s">
        <v>1072</v>
      </c>
      <c r="E893" s="8">
        <v>1</v>
      </c>
      <c r="F893" s="5"/>
      <c r="G893" s="12" t="s">
        <v>1189</v>
      </c>
      <c r="H893" s="8" t="s">
        <v>580</v>
      </c>
      <c r="I893" s="8"/>
      <c r="J893" s="8" t="s">
        <v>26</v>
      </c>
      <c r="K893" s="8"/>
      <c r="L893" s="8"/>
      <c r="M893" s="8"/>
      <c r="N893" s="8"/>
      <c r="O893" s="14">
        <f t="shared" si="25"/>
        <v>0</v>
      </c>
      <c r="P893" s="8"/>
      <c r="Q893" s="8"/>
      <c r="R893" s="8"/>
      <c r="S893" s="8"/>
      <c r="T893" s="8"/>
      <c r="U893" s="8"/>
    </row>
    <row r="894" spans="1:21" s="3" customFormat="1" ht="26.4" hidden="1" x14ac:dyDescent="0.3">
      <c r="A894" s="5" t="s">
        <v>1211</v>
      </c>
      <c r="B894" s="5" t="s">
        <v>1212</v>
      </c>
      <c r="C894" s="8" t="s">
        <v>416</v>
      </c>
      <c r="D894" s="8" t="s">
        <v>1072</v>
      </c>
      <c r="E894" s="8">
        <v>1</v>
      </c>
      <c r="F894" s="5" t="s">
        <v>1196</v>
      </c>
      <c r="G894" s="12" t="s">
        <v>1189</v>
      </c>
      <c r="H894" s="8" t="s">
        <v>408</v>
      </c>
      <c r="I894" s="8" t="s">
        <v>25</v>
      </c>
      <c r="J894" s="8" t="s">
        <v>26</v>
      </c>
      <c r="K894" s="13">
        <v>41867</v>
      </c>
      <c r="L894" s="13">
        <v>46084</v>
      </c>
      <c r="M894" s="8" t="s">
        <v>1213</v>
      </c>
      <c r="N894" s="14">
        <v>6920</v>
      </c>
      <c r="O894" s="14">
        <f t="shared" si="25"/>
        <v>6920</v>
      </c>
      <c r="P894" s="8" t="s">
        <v>73</v>
      </c>
      <c r="Q894" s="8" t="s">
        <v>1197</v>
      </c>
      <c r="R894" s="8" t="s">
        <v>586</v>
      </c>
      <c r="S894" s="8" t="s">
        <v>1198</v>
      </c>
      <c r="T894" s="8"/>
      <c r="U894" s="8"/>
    </row>
    <row r="895" spans="1:21" s="3" customFormat="1" ht="26.4" hidden="1" x14ac:dyDescent="0.3">
      <c r="A895" s="31" t="s">
        <v>1068</v>
      </c>
      <c r="B895" s="8" t="s">
        <v>1040</v>
      </c>
      <c r="C895" s="16" t="s">
        <v>1183</v>
      </c>
      <c r="D895" s="16" t="s">
        <v>1072</v>
      </c>
      <c r="E895" s="16">
        <v>1</v>
      </c>
      <c r="F895" s="5" t="s">
        <v>407</v>
      </c>
      <c r="G895" s="12" t="s">
        <v>1190</v>
      </c>
      <c r="H895" s="8" t="s">
        <v>408</v>
      </c>
      <c r="I895" s="16" t="s">
        <v>25</v>
      </c>
      <c r="J895" s="16" t="s">
        <v>26</v>
      </c>
      <c r="K895" s="22">
        <v>43111</v>
      </c>
      <c r="L895" s="13">
        <v>46076</v>
      </c>
      <c r="M895" s="8">
        <v>2743</v>
      </c>
      <c r="N895" s="23">
        <v>19748.873333333333</v>
      </c>
      <c r="O895" s="14">
        <f t="shared" si="25"/>
        <v>19748.873333333333</v>
      </c>
      <c r="P895" s="16" t="s">
        <v>73</v>
      </c>
      <c r="Q895" s="7" t="s">
        <v>409</v>
      </c>
      <c r="R895" s="8">
        <v>9930806006</v>
      </c>
      <c r="S895" s="8" t="s">
        <v>410</v>
      </c>
      <c r="T895" s="16" t="s">
        <v>37</v>
      </c>
      <c r="U895" s="16"/>
    </row>
    <row r="896" spans="1:21" s="3" customFormat="1" hidden="1" x14ac:dyDescent="0.3">
      <c r="A896" s="5" t="s">
        <v>518</v>
      </c>
      <c r="B896" s="5" t="s">
        <v>1069</v>
      </c>
      <c r="C896" s="8" t="s">
        <v>1070</v>
      </c>
      <c r="D896" s="8" t="s">
        <v>1072</v>
      </c>
      <c r="E896" s="8">
        <v>1</v>
      </c>
      <c r="F896" s="5" t="s">
        <v>37</v>
      </c>
      <c r="G896" s="12" t="s">
        <v>1189</v>
      </c>
      <c r="H896" s="8" t="s">
        <v>311</v>
      </c>
      <c r="I896" s="12" t="s">
        <v>25</v>
      </c>
      <c r="J896" s="8" t="s">
        <v>26</v>
      </c>
      <c r="K896" s="15">
        <v>43990</v>
      </c>
      <c r="L896" s="15">
        <v>46085</v>
      </c>
      <c r="M896" s="12" t="s">
        <v>37</v>
      </c>
      <c r="N896" s="12">
        <v>1900</v>
      </c>
      <c r="O896" s="14">
        <f t="shared" si="25"/>
        <v>1900</v>
      </c>
      <c r="P896" s="8"/>
      <c r="Q896" s="5" t="s">
        <v>37</v>
      </c>
      <c r="R896" s="5" t="s">
        <v>37</v>
      </c>
      <c r="S896" s="5" t="s">
        <v>37</v>
      </c>
      <c r="T896" s="5" t="s">
        <v>37</v>
      </c>
      <c r="U896" s="8"/>
    </row>
    <row r="897" spans="1:21" s="3" customFormat="1" hidden="1" x14ac:dyDescent="0.3">
      <c r="A897" s="5" t="s">
        <v>1076</v>
      </c>
      <c r="B897" s="5" t="s">
        <v>1077</v>
      </c>
      <c r="C897" s="8" t="s">
        <v>37</v>
      </c>
      <c r="D897" s="8" t="s">
        <v>1072</v>
      </c>
      <c r="E897" s="8">
        <v>1</v>
      </c>
      <c r="F897" s="5"/>
      <c r="G897" s="12" t="s">
        <v>1189</v>
      </c>
      <c r="H897" s="8" t="s">
        <v>426</v>
      </c>
      <c r="I897" s="8"/>
      <c r="J897" s="8" t="s">
        <v>26</v>
      </c>
      <c r="K897" s="8"/>
      <c r="L897" s="8"/>
      <c r="M897" s="8"/>
      <c r="N897" s="8"/>
      <c r="O897" s="14">
        <f t="shared" si="25"/>
        <v>0</v>
      </c>
      <c r="P897" s="8"/>
      <c r="Q897" s="8"/>
      <c r="R897" s="8"/>
      <c r="S897" s="8"/>
      <c r="T897" s="8"/>
      <c r="U897" s="8"/>
    </row>
    <row r="898" spans="1:21" s="3" customFormat="1" ht="26.4" hidden="1" x14ac:dyDescent="0.3">
      <c r="A898" s="5" t="s">
        <v>505</v>
      </c>
      <c r="B898" s="8" t="s">
        <v>1063</v>
      </c>
      <c r="C898" s="12" t="s">
        <v>446</v>
      </c>
      <c r="D898" s="8" t="s">
        <v>1072</v>
      </c>
      <c r="E898" s="8">
        <v>3</v>
      </c>
      <c r="F898" s="5" t="s">
        <v>425</v>
      </c>
      <c r="G898" s="12" t="s">
        <v>1190</v>
      </c>
      <c r="H898" s="8" t="s">
        <v>426</v>
      </c>
      <c r="I898" s="12" t="s">
        <v>25</v>
      </c>
      <c r="J898" s="12" t="s">
        <v>26</v>
      </c>
      <c r="K898" s="13">
        <v>45512</v>
      </c>
      <c r="L898" s="15">
        <v>46215</v>
      </c>
      <c r="M898" s="8" t="s">
        <v>1093</v>
      </c>
      <c r="N898" s="8">
        <v>5600</v>
      </c>
      <c r="O898" s="14">
        <f t="shared" si="25"/>
        <v>16800</v>
      </c>
      <c r="P898" s="12" t="s">
        <v>50</v>
      </c>
      <c r="Q898" s="7" t="s">
        <v>428</v>
      </c>
      <c r="R898" s="8" t="s">
        <v>429</v>
      </c>
      <c r="S898" s="8" t="s">
        <v>430</v>
      </c>
      <c r="T898" s="8" t="s">
        <v>41</v>
      </c>
      <c r="U898" s="8"/>
    </row>
    <row r="899" spans="1:21" s="3" customFormat="1" ht="26.4" hidden="1" x14ac:dyDescent="0.3">
      <c r="A899" s="5" t="s">
        <v>1218</v>
      </c>
      <c r="B899" s="5" t="s">
        <v>1219</v>
      </c>
      <c r="C899" s="8" t="s">
        <v>1078</v>
      </c>
      <c r="D899" s="8" t="s">
        <v>1072</v>
      </c>
      <c r="E899" s="8">
        <v>1</v>
      </c>
      <c r="F899" s="5" t="s">
        <v>1196</v>
      </c>
      <c r="G899" s="12" t="s">
        <v>1189</v>
      </c>
      <c r="H899" s="8" t="s">
        <v>408</v>
      </c>
      <c r="I899" s="8" t="s">
        <v>25</v>
      </c>
      <c r="J899" s="8" t="s">
        <v>26</v>
      </c>
      <c r="K899" s="13">
        <v>41684</v>
      </c>
      <c r="L899" s="13">
        <v>46084</v>
      </c>
      <c r="M899" s="8" t="s">
        <v>1220</v>
      </c>
      <c r="N899" s="14">
        <v>3940</v>
      </c>
      <c r="O899" s="14">
        <f t="shared" si="25"/>
        <v>3940</v>
      </c>
      <c r="P899" s="8" t="s">
        <v>73</v>
      </c>
      <c r="Q899" s="8" t="s">
        <v>1197</v>
      </c>
      <c r="R899" s="8" t="s">
        <v>586</v>
      </c>
      <c r="S899" s="8" t="s">
        <v>1198</v>
      </c>
      <c r="T899" s="8" t="s">
        <v>315</v>
      </c>
      <c r="U899" s="8"/>
    </row>
    <row r="900" spans="1:21" s="3" customFormat="1" ht="26.4" hidden="1" x14ac:dyDescent="0.3">
      <c r="A900" s="5" t="s">
        <v>1211</v>
      </c>
      <c r="B900" s="5" t="s">
        <v>1212</v>
      </c>
      <c r="C900" s="8" t="s">
        <v>416</v>
      </c>
      <c r="D900" s="8" t="s">
        <v>1072</v>
      </c>
      <c r="E900" s="8">
        <v>1</v>
      </c>
      <c r="F900" s="5" t="s">
        <v>1196</v>
      </c>
      <c r="G900" s="12" t="s">
        <v>1189</v>
      </c>
      <c r="H900" s="8" t="s">
        <v>408</v>
      </c>
      <c r="I900" s="8" t="s">
        <v>25</v>
      </c>
      <c r="J900" s="8" t="s">
        <v>26</v>
      </c>
      <c r="K900" s="13">
        <v>41820</v>
      </c>
      <c r="L900" s="13">
        <v>46084</v>
      </c>
      <c r="M900" s="8" t="s">
        <v>1214</v>
      </c>
      <c r="N900" s="14">
        <v>6920</v>
      </c>
      <c r="O900" s="14">
        <f t="shared" si="25"/>
        <v>6920</v>
      </c>
      <c r="P900" s="8" t="s">
        <v>73</v>
      </c>
      <c r="Q900" s="8" t="s">
        <v>1197</v>
      </c>
      <c r="R900" s="8" t="s">
        <v>586</v>
      </c>
      <c r="S900" s="8" t="s">
        <v>1198</v>
      </c>
      <c r="T900" s="8"/>
      <c r="U900" s="8"/>
    </row>
    <row r="901" spans="1:21" s="3" customFormat="1" hidden="1" x14ac:dyDescent="0.3">
      <c r="A901" s="31" t="s">
        <v>500</v>
      </c>
      <c r="B901" s="16" t="s">
        <v>1071</v>
      </c>
      <c r="C901" s="16" t="s">
        <v>502</v>
      </c>
      <c r="D901" s="16" t="s">
        <v>1072</v>
      </c>
      <c r="E901" s="16">
        <v>1</v>
      </c>
      <c r="F901" s="31" t="s">
        <v>9</v>
      </c>
      <c r="G901" s="12" t="s">
        <v>1190</v>
      </c>
      <c r="H901" s="16" t="s">
        <v>426</v>
      </c>
      <c r="I901" s="16" t="s">
        <v>25</v>
      </c>
      <c r="J901" s="16" t="s">
        <v>72</v>
      </c>
      <c r="K901" s="16" t="s">
        <v>37</v>
      </c>
      <c r="L901" s="16" t="s">
        <v>37</v>
      </c>
      <c r="M901" s="16" t="s">
        <v>37</v>
      </c>
      <c r="N901" s="16">
        <v>0</v>
      </c>
      <c r="O901" s="14">
        <f t="shared" si="25"/>
        <v>0</v>
      </c>
      <c r="P901" s="16" t="s">
        <v>312</v>
      </c>
      <c r="Q901" s="16" t="s">
        <v>37</v>
      </c>
      <c r="R901" s="16" t="s">
        <v>37</v>
      </c>
      <c r="S901" s="16" t="s">
        <v>37</v>
      </c>
      <c r="T901" s="16" t="s">
        <v>37</v>
      </c>
      <c r="U901" s="16"/>
    </row>
    <row r="902" spans="1:21" s="3" customFormat="1" hidden="1" x14ac:dyDescent="0.3">
      <c r="A902" s="31" t="s">
        <v>1060</v>
      </c>
      <c r="B902" s="16" t="s">
        <v>1079</v>
      </c>
      <c r="C902" s="16" t="s">
        <v>37</v>
      </c>
      <c r="D902" s="16" t="s">
        <v>1072</v>
      </c>
      <c r="E902" s="16">
        <v>1</v>
      </c>
      <c r="F902" s="31" t="s">
        <v>9</v>
      </c>
      <c r="G902" s="12" t="s">
        <v>1190</v>
      </c>
      <c r="H902" s="16" t="s">
        <v>426</v>
      </c>
      <c r="I902" s="16" t="s">
        <v>25</v>
      </c>
      <c r="J902" s="16" t="s">
        <v>72</v>
      </c>
      <c r="K902" s="16" t="s">
        <v>37</v>
      </c>
      <c r="L902" s="18">
        <v>46078</v>
      </c>
      <c r="M902" s="16">
        <v>0</v>
      </c>
      <c r="N902" s="16">
        <v>0</v>
      </c>
      <c r="O902" s="14">
        <f t="shared" si="25"/>
        <v>0</v>
      </c>
      <c r="P902" s="16" t="s">
        <v>37</v>
      </c>
      <c r="Q902" s="16" t="s">
        <v>37</v>
      </c>
      <c r="R902" s="16" t="s">
        <v>37</v>
      </c>
      <c r="S902" s="16" t="s">
        <v>37</v>
      </c>
      <c r="T902" s="16" t="s">
        <v>37</v>
      </c>
      <c r="U902" s="16" t="s">
        <v>37</v>
      </c>
    </row>
    <row r="903" spans="1:21" s="3" customFormat="1" ht="26.4" hidden="1" x14ac:dyDescent="0.3">
      <c r="A903" s="5" t="s">
        <v>1211</v>
      </c>
      <c r="B903" s="28" t="s">
        <v>1215</v>
      </c>
      <c r="C903" s="8" t="s">
        <v>416</v>
      </c>
      <c r="D903" s="8" t="s">
        <v>1080</v>
      </c>
      <c r="E903" s="8">
        <v>2</v>
      </c>
      <c r="F903" s="5" t="s">
        <v>821</v>
      </c>
      <c r="G903" s="12" t="s">
        <v>1189</v>
      </c>
      <c r="H903" s="8" t="s">
        <v>408</v>
      </c>
      <c r="I903" s="8" t="s">
        <v>25</v>
      </c>
      <c r="J903" s="8" t="s">
        <v>26</v>
      </c>
      <c r="K903" s="29">
        <v>44914</v>
      </c>
      <c r="L903" s="13">
        <v>46084</v>
      </c>
      <c r="M903" s="30" t="s">
        <v>1217</v>
      </c>
      <c r="N903" s="30">
        <v>15000</v>
      </c>
      <c r="O903" s="14">
        <f t="shared" si="25"/>
        <v>30000</v>
      </c>
      <c r="P903" s="8" t="s">
        <v>73</v>
      </c>
      <c r="Q903" s="8" t="s">
        <v>823</v>
      </c>
      <c r="R903" s="9">
        <v>9820797926</v>
      </c>
      <c r="S903" s="5" t="s">
        <v>824</v>
      </c>
      <c r="T903" s="8" t="s">
        <v>32</v>
      </c>
      <c r="U903" s="8"/>
    </row>
    <row r="904" spans="1:21" s="3" customFormat="1" ht="26.4" hidden="1" x14ac:dyDescent="0.3">
      <c r="A904" s="5" t="s">
        <v>1218</v>
      </c>
      <c r="B904" s="5" t="s">
        <v>1219</v>
      </c>
      <c r="C904" s="8" t="s">
        <v>1078</v>
      </c>
      <c r="D904" s="8" t="s">
        <v>1080</v>
      </c>
      <c r="E904" s="8">
        <v>1</v>
      </c>
      <c r="F904" s="5" t="s">
        <v>1196</v>
      </c>
      <c r="G904" s="12" t="s">
        <v>1189</v>
      </c>
      <c r="H904" s="8" t="s">
        <v>408</v>
      </c>
      <c r="I904" s="8"/>
      <c r="J904" s="8" t="s">
        <v>26</v>
      </c>
      <c r="K904" s="13">
        <v>41684</v>
      </c>
      <c r="L904" s="13">
        <v>46084</v>
      </c>
      <c r="M904" s="8" t="s">
        <v>37</v>
      </c>
      <c r="N904" s="14">
        <v>3940</v>
      </c>
      <c r="O904" s="14">
        <f t="shared" si="25"/>
        <v>3940</v>
      </c>
      <c r="P904" s="8" t="s">
        <v>73</v>
      </c>
      <c r="Q904" s="8" t="s">
        <v>1197</v>
      </c>
      <c r="R904" s="8" t="s">
        <v>586</v>
      </c>
      <c r="S904" s="8" t="s">
        <v>1198</v>
      </c>
      <c r="T904" s="8" t="s">
        <v>315</v>
      </c>
      <c r="U904" s="8"/>
    </row>
    <row r="905" spans="1:21" s="3" customFormat="1" hidden="1" x14ac:dyDescent="0.3">
      <c r="A905" s="5" t="s">
        <v>412</v>
      </c>
      <c r="B905" s="5" t="s">
        <v>1067</v>
      </c>
      <c r="C905" s="8" t="s">
        <v>436</v>
      </c>
      <c r="D905" s="8" t="s">
        <v>1080</v>
      </c>
      <c r="E905" s="8">
        <v>1</v>
      </c>
      <c r="F905" s="5"/>
      <c r="G905" s="12" t="s">
        <v>1189</v>
      </c>
      <c r="H905" s="8" t="s">
        <v>580</v>
      </c>
      <c r="I905" s="8"/>
      <c r="J905" s="8" t="s">
        <v>26</v>
      </c>
      <c r="K905" s="8"/>
      <c r="L905" s="8"/>
      <c r="M905" s="8"/>
      <c r="N905" s="8"/>
      <c r="O905" s="14">
        <f t="shared" si="25"/>
        <v>0</v>
      </c>
      <c r="P905" s="8"/>
      <c r="Q905" s="8"/>
      <c r="R905" s="8"/>
      <c r="S905" s="8"/>
      <c r="T905" s="8"/>
      <c r="U905" s="8"/>
    </row>
    <row r="906" spans="1:21" s="3" customFormat="1" ht="26.4" hidden="1" x14ac:dyDescent="0.3">
      <c r="A906" s="31" t="s">
        <v>1060</v>
      </c>
      <c r="B906" s="16" t="s">
        <v>1061</v>
      </c>
      <c r="C906" s="16" t="s">
        <v>529</v>
      </c>
      <c r="D906" s="16" t="s">
        <v>1080</v>
      </c>
      <c r="E906" s="16">
        <v>1</v>
      </c>
      <c r="F906" s="5" t="s">
        <v>425</v>
      </c>
      <c r="G906" s="12" t="s">
        <v>1190</v>
      </c>
      <c r="H906" s="16" t="s">
        <v>426</v>
      </c>
      <c r="I906" s="16" t="s">
        <v>25</v>
      </c>
      <c r="J906" s="16" t="s">
        <v>26</v>
      </c>
      <c r="K906" s="13">
        <v>45495</v>
      </c>
      <c r="L906" s="18">
        <v>46070</v>
      </c>
      <c r="M906" s="8" t="s">
        <v>498</v>
      </c>
      <c r="N906" s="8">
        <v>52100</v>
      </c>
      <c r="O906" s="14">
        <f t="shared" si="25"/>
        <v>52100</v>
      </c>
      <c r="P906" s="16" t="s">
        <v>73</v>
      </c>
      <c r="Q906" s="7" t="s">
        <v>428</v>
      </c>
      <c r="R906" s="8" t="s">
        <v>429</v>
      </c>
      <c r="S906" s="8" t="s">
        <v>430</v>
      </c>
      <c r="T906" s="8" t="s">
        <v>942</v>
      </c>
      <c r="U906" s="16"/>
    </row>
    <row r="907" spans="1:21" s="3" customFormat="1" ht="26.4" hidden="1" x14ac:dyDescent="0.3">
      <c r="A907" s="5" t="s">
        <v>505</v>
      </c>
      <c r="B907" s="8" t="s">
        <v>1100</v>
      </c>
      <c r="C907" s="12" t="s">
        <v>446</v>
      </c>
      <c r="D907" s="8" t="s">
        <v>1080</v>
      </c>
      <c r="E907" s="8">
        <v>1</v>
      </c>
      <c r="F907" s="5" t="s">
        <v>425</v>
      </c>
      <c r="G907" s="12" t="s">
        <v>1190</v>
      </c>
      <c r="H907" s="8" t="s">
        <v>426</v>
      </c>
      <c r="I907" s="12" t="s">
        <v>25</v>
      </c>
      <c r="J907" s="12" t="s">
        <v>26</v>
      </c>
      <c r="K907" s="13">
        <v>45512</v>
      </c>
      <c r="L907" s="15">
        <v>46215</v>
      </c>
      <c r="M907" s="8" t="s">
        <v>1093</v>
      </c>
      <c r="N907" s="8">
        <v>5600</v>
      </c>
      <c r="O907" s="14">
        <f t="shared" si="25"/>
        <v>5600</v>
      </c>
      <c r="P907" s="12" t="s">
        <v>50</v>
      </c>
      <c r="Q907" s="7" t="s">
        <v>428</v>
      </c>
      <c r="R907" s="8" t="s">
        <v>429</v>
      </c>
      <c r="S907" s="8" t="s">
        <v>430</v>
      </c>
      <c r="T907" s="8" t="s">
        <v>41</v>
      </c>
      <c r="U907" s="8"/>
    </row>
    <row r="908" spans="1:21" s="3" customFormat="1" ht="26.4" hidden="1" x14ac:dyDescent="0.3">
      <c r="A908" s="31" t="s">
        <v>1068</v>
      </c>
      <c r="B908" s="8" t="s">
        <v>1040</v>
      </c>
      <c r="C908" s="16" t="s">
        <v>1183</v>
      </c>
      <c r="D908" s="16" t="s">
        <v>1080</v>
      </c>
      <c r="E908" s="16">
        <v>1</v>
      </c>
      <c r="F908" s="5" t="s">
        <v>407</v>
      </c>
      <c r="G908" s="12" t="s">
        <v>1190</v>
      </c>
      <c r="H908" s="8" t="s">
        <v>408</v>
      </c>
      <c r="I908" s="16" t="s">
        <v>25</v>
      </c>
      <c r="J908" s="16" t="s">
        <v>26</v>
      </c>
      <c r="K908" s="22">
        <v>43111</v>
      </c>
      <c r="L908" s="13">
        <v>46076</v>
      </c>
      <c r="M908" s="8">
        <v>2743</v>
      </c>
      <c r="N908" s="23">
        <v>19748.873333333333</v>
      </c>
      <c r="O908" s="14">
        <f t="shared" si="25"/>
        <v>19748.873333333333</v>
      </c>
      <c r="P908" s="16" t="s">
        <v>73</v>
      </c>
      <c r="Q908" s="7" t="s">
        <v>409</v>
      </c>
      <c r="R908" s="8">
        <v>9930806006</v>
      </c>
      <c r="S908" s="8" t="s">
        <v>410</v>
      </c>
      <c r="T908" s="16" t="s">
        <v>37</v>
      </c>
      <c r="U908" s="16"/>
    </row>
    <row r="909" spans="1:21" s="3" customFormat="1" ht="26.4" hidden="1" x14ac:dyDescent="0.3">
      <c r="A909" s="31" t="s">
        <v>1081</v>
      </c>
      <c r="B909" s="16" t="s">
        <v>1082</v>
      </c>
      <c r="C909" s="16" t="s">
        <v>854</v>
      </c>
      <c r="D909" s="16" t="s">
        <v>1080</v>
      </c>
      <c r="E909" s="16">
        <v>6</v>
      </c>
      <c r="F909" s="5" t="s">
        <v>821</v>
      </c>
      <c r="G909" s="12" t="s">
        <v>1190</v>
      </c>
      <c r="H909" s="16" t="s">
        <v>426</v>
      </c>
      <c r="I909" s="16" t="s">
        <v>25</v>
      </c>
      <c r="J909" s="16" t="s">
        <v>26</v>
      </c>
      <c r="K909" s="13">
        <v>45899</v>
      </c>
      <c r="L909" s="13">
        <v>46070</v>
      </c>
      <c r="M909" s="8" t="s">
        <v>871</v>
      </c>
      <c r="N909" s="8">
        <v>1275</v>
      </c>
      <c r="O909" s="14">
        <f t="shared" si="25"/>
        <v>7650</v>
      </c>
      <c r="P909" s="16" t="s">
        <v>50</v>
      </c>
      <c r="Q909" s="7" t="s">
        <v>823</v>
      </c>
      <c r="R909" s="8">
        <v>9820797926</v>
      </c>
      <c r="S909" s="8" t="s">
        <v>868</v>
      </c>
      <c r="T909" s="8" t="s">
        <v>941</v>
      </c>
      <c r="U909" s="16"/>
    </row>
    <row r="910" spans="1:21" s="3" customFormat="1" ht="26.4" hidden="1" x14ac:dyDescent="0.3">
      <c r="A910" s="31" t="s">
        <v>1073</v>
      </c>
      <c r="B910" s="16" t="s">
        <v>1184</v>
      </c>
      <c r="C910" s="16" t="s">
        <v>1065</v>
      </c>
      <c r="D910" s="16" t="s">
        <v>1080</v>
      </c>
      <c r="E910" s="16">
        <v>1</v>
      </c>
      <c r="F910" s="5" t="s">
        <v>407</v>
      </c>
      <c r="G910" s="12" t="s">
        <v>1190</v>
      </c>
      <c r="H910" s="8" t="s">
        <v>408</v>
      </c>
      <c r="I910" s="16" t="s">
        <v>25</v>
      </c>
      <c r="J910" s="16" t="s">
        <v>26</v>
      </c>
      <c r="K910" s="22">
        <v>43115</v>
      </c>
      <c r="L910" s="13">
        <v>46070</v>
      </c>
      <c r="M910" s="8">
        <v>2743</v>
      </c>
      <c r="N910" s="23">
        <v>9756.003999999999</v>
      </c>
      <c r="O910" s="14">
        <f t="shared" si="25"/>
        <v>9756.003999999999</v>
      </c>
      <c r="P910" s="16" t="s">
        <v>73</v>
      </c>
      <c r="Q910" s="7" t="s">
        <v>409</v>
      </c>
      <c r="R910" s="8">
        <v>9930806006</v>
      </c>
      <c r="S910" s="8" t="s">
        <v>410</v>
      </c>
      <c r="T910" s="16" t="s">
        <v>37</v>
      </c>
      <c r="U910" s="16"/>
    </row>
    <row r="911" spans="1:21" s="3" customFormat="1" hidden="1" x14ac:dyDescent="0.3">
      <c r="A911" s="5" t="s">
        <v>518</v>
      </c>
      <c r="B911" s="5" t="s">
        <v>432</v>
      </c>
      <c r="C911" s="8" t="s">
        <v>37</v>
      </c>
      <c r="D911" s="8" t="s">
        <v>1080</v>
      </c>
      <c r="E911" s="8">
        <v>1</v>
      </c>
      <c r="F911" s="5"/>
      <c r="G911" s="12" t="s">
        <v>1189</v>
      </c>
      <c r="H911" s="8" t="s">
        <v>311</v>
      </c>
      <c r="I911" s="12" t="s">
        <v>25</v>
      </c>
      <c r="J911" s="8" t="s">
        <v>26</v>
      </c>
      <c r="K911" s="15"/>
      <c r="L911" s="15"/>
      <c r="M911" s="12"/>
      <c r="N911" s="12"/>
      <c r="O911" s="14"/>
      <c r="P911" s="8"/>
      <c r="Q911" s="43"/>
      <c r="R911" s="5"/>
      <c r="S911" s="5"/>
      <c r="T911" s="12"/>
      <c r="U911" s="8"/>
    </row>
    <row r="912" spans="1:21" s="3" customFormat="1" hidden="1" x14ac:dyDescent="0.3">
      <c r="A912" s="31" t="s">
        <v>500</v>
      </c>
      <c r="B912" s="8" t="s">
        <v>1092</v>
      </c>
      <c r="C912" s="16" t="s">
        <v>502</v>
      </c>
      <c r="D912" s="16" t="s">
        <v>1080</v>
      </c>
      <c r="E912" s="16">
        <v>1</v>
      </c>
      <c r="F912" s="5" t="s">
        <v>531</v>
      </c>
      <c r="G912" s="12" t="s">
        <v>1190</v>
      </c>
      <c r="H912" s="16" t="s">
        <v>426</v>
      </c>
      <c r="I912" s="16" t="s">
        <v>25</v>
      </c>
      <c r="J912" s="16" t="s">
        <v>26</v>
      </c>
      <c r="K912" s="13">
        <v>44616</v>
      </c>
      <c r="L912" s="18">
        <v>46070</v>
      </c>
      <c r="M912" s="8" t="s">
        <v>1091</v>
      </c>
      <c r="N912" s="8">
        <v>21512</v>
      </c>
      <c r="O912" s="14">
        <f>N912*E912</f>
        <v>21512</v>
      </c>
      <c r="P912" s="16" t="s">
        <v>73</v>
      </c>
      <c r="Q912" s="8" t="s">
        <v>37</v>
      </c>
      <c r="R912" s="8" t="s">
        <v>37</v>
      </c>
      <c r="S912" s="8" t="s">
        <v>525</v>
      </c>
      <c r="T912" s="16" t="s">
        <v>1101</v>
      </c>
      <c r="U912" s="16"/>
    </row>
    <row r="913" spans="1:21" s="3" customFormat="1" ht="26.4" hidden="1" x14ac:dyDescent="0.3">
      <c r="A913" s="31" t="s">
        <v>1066</v>
      </c>
      <c r="B913" s="16" t="s">
        <v>1088</v>
      </c>
      <c r="C913" s="16" t="s">
        <v>416</v>
      </c>
      <c r="D913" s="16" t="s">
        <v>1083</v>
      </c>
      <c r="E913" s="16">
        <v>1</v>
      </c>
      <c r="F913" s="28" t="s">
        <v>821</v>
      </c>
      <c r="G913" s="12" t="s">
        <v>1190</v>
      </c>
      <c r="H913" s="8" t="s">
        <v>408</v>
      </c>
      <c r="I913" s="16" t="s">
        <v>25</v>
      </c>
      <c r="J913" s="16" t="s">
        <v>26</v>
      </c>
      <c r="K913" s="13">
        <v>44616</v>
      </c>
      <c r="L913" s="18">
        <v>46070</v>
      </c>
      <c r="M913" s="8" t="s">
        <v>1091</v>
      </c>
      <c r="N913" s="30">
        <f>25900+4662</f>
        <v>30562</v>
      </c>
      <c r="O913" s="14">
        <f>N913*E913</f>
        <v>30562</v>
      </c>
      <c r="P913" s="16" t="s">
        <v>73</v>
      </c>
      <c r="Q913" s="7" t="s">
        <v>823</v>
      </c>
      <c r="R913" s="8">
        <v>9820797926</v>
      </c>
      <c r="S913" s="8" t="s">
        <v>868</v>
      </c>
      <c r="T913" s="16" t="s">
        <v>32</v>
      </c>
      <c r="U913" s="16"/>
    </row>
    <row r="914" spans="1:21" s="3" customFormat="1" ht="26.4" hidden="1" x14ac:dyDescent="0.3">
      <c r="A914" s="28" t="s">
        <v>1066</v>
      </c>
      <c r="B914" s="28" t="s">
        <v>1216</v>
      </c>
      <c r="C914" s="8" t="s">
        <v>416</v>
      </c>
      <c r="D914" s="8" t="s">
        <v>1083</v>
      </c>
      <c r="E914" s="8">
        <v>2</v>
      </c>
      <c r="F914" s="28" t="s">
        <v>821</v>
      </c>
      <c r="G914" s="12" t="s">
        <v>1189</v>
      </c>
      <c r="H914" s="8" t="s">
        <v>408</v>
      </c>
      <c r="I914" s="8" t="s">
        <v>25</v>
      </c>
      <c r="J914" s="8" t="s">
        <v>26</v>
      </c>
      <c r="K914" s="29">
        <v>44914</v>
      </c>
      <c r="L914" s="13">
        <v>46084</v>
      </c>
      <c r="M914" s="30" t="s">
        <v>1217</v>
      </c>
      <c r="N914" s="8">
        <v>11500</v>
      </c>
      <c r="O914" s="14">
        <f>N914*E914</f>
        <v>23000</v>
      </c>
      <c r="P914" s="8" t="s">
        <v>73</v>
      </c>
      <c r="Q914" s="8" t="s">
        <v>823</v>
      </c>
      <c r="R914" s="9">
        <v>9820797926</v>
      </c>
      <c r="S914" s="5" t="s">
        <v>824</v>
      </c>
      <c r="T914" s="8" t="s">
        <v>32</v>
      </c>
      <c r="U914" s="8"/>
    </row>
    <row r="915" spans="1:21" s="3" customFormat="1" hidden="1" x14ac:dyDescent="0.3">
      <c r="A915" s="5" t="s">
        <v>518</v>
      </c>
      <c r="B915" s="5" t="s">
        <v>432</v>
      </c>
      <c r="C915" s="8" t="s">
        <v>37</v>
      </c>
      <c r="D915" s="8" t="s">
        <v>1083</v>
      </c>
      <c r="E915" s="8">
        <v>1</v>
      </c>
      <c r="F915" s="5"/>
      <c r="G915" s="12" t="s">
        <v>1189</v>
      </c>
      <c r="H915" s="8" t="s">
        <v>311</v>
      </c>
      <c r="I915" s="12" t="s">
        <v>25</v>
      </c>
      <c r="J915" s="8" t="s">
        <v>26</v>
      </c>
      <c r="K915" s="15"/>
      <c r="L915" s="15"/>
      <c r="M915" s="12"/>
      <c r="N915" s="12"/>
      <c r="O915" s="14"/>
      <c r="P915" s="8"/>
      <c r="Q915" s="43"/>
      <c r="R915" s="5"/>
      <c r="S915" s="5"/>
      <c r="T915" s="12"/>
      <c r="U915" s="8"/>
    </row>
    <row r="916" spans="1:21" s="3" customFormat="1" ht="26.4" hidden="1" x14ac:dyDescent="0.3">
      <c r="A916" s="31" t="s">
        <v>1081</v>
      </c>
      <c r="B916" s="16" t="s">
        <v>1082</v>
      </c>
      <c r="C916" s="16" t="s">
        <v>854</v>
      </c>
      <c r="D916" s="16" t="s">
        <v>1002</v>
      </c>
      <c r="E916" s="16">
        <v>1</v>
      </c>
      <c r="F916" s="5" t="s">
        <v>821</v>
      </c>
      <c r="G916" s="12" t="s">
        <v>1190</v>
      </c>
      <c r="H916" s="16" t="s">
        <v>426</v>
      </c>
      <c r="I916" s="16" t="s">
        <v>25</v>
      </c>
      <c r="J916" s="16" t="s">
        <v>26</v>
      </c>
      <c r="K916" s="13">
        <v>45899</v>
      </c>
      <c r="L916" s="13">
        <v>46070</v>
      </c>
      <c r="M916" s="8" t="s">
        <v>871</v>
      </c>
      <c r="N916" s="8">
        <v>1275</v>
      </c>
      <c r="O916" s="14">
        <f t="shared" ref="O916:O921" si="26">N916*E916</f>
        <v>1275</v>
      </c>
      <c r="P916" s="16" t="s">
        <v>50</v>
      </c>
      <c r="Q916" s="7" t="s">
        <v>823</v>
      </c>
      <c r="R916" s="8">
        <v>9820797926</v>
      </c>
      <c r="S916" s="8" t="s">
        <v>868</v>
      </c>
      <c r="T916" s="8" t="s">
        <v>941</v>
      </c>
      <c r="U916" s="16"/>
    </row>
    <row r="917" spans="1:21" s="3" customFormat="1" hidden="1" x14ac:dyDescent="0.3">
      <c r="A917" s="5" t="s">
        <v>1084</v>
      </c>
      <c r="B917" s="5" t="s">
        <v>1085</v>
      </c>
      <c r="C917" s="8" t="s">
        <v>37</v>
      </c>
      <c r="D917" s="8" t="s">
        <v>1002</v>
      </c>
      <c r="E917" s="8">
        <v>1</v>
      </c>
      <c r="F917" s="5"/>
      <c r="G917" s="12" t="s">
        <v>1189</v>
      </c>
      <c r="H917" s="8" t="s">
        <v>24</v>
      </c>
      <c r="I917" s="8"/>
      <c r="J917" s="8" t="s">
        <v>26</v>
      </c>
      <c r="K917" s="8"/>
      <c r="L917" s="8"/>
      <c r="M917" s="8"/>
      <c r="N917" s="8"/>
      <c r="O917" s="14">
        <f t="shared" si="26"/>
        <v>0</v>
      </c>
      <c r="P917" s="8"/>
      <c r="Q917" s="8"/>
      <c r="R917" s="8"/>
      <c r="S917" s="8"/>
      <c r="T917" s="8"/>
      <c r="U917" s="8"/>
    </row>
    <row r="918" spans="1:21" s="3" customFormat="1" ht="39.6" hidden="1" x14ac:dyDescent="0.3">
      <c r="A918" s="5" t="s">
        <v>1086</v>
      </c>
      <c r="B918" s="5" t="s">
        <v>1275</v>
      </c>
      <c r="C918" s="8" t="s">
        <v>1087</v>
      </c>
      <c r="D918" s="8" t="s">
        <v>1002</v>
      </c>
      <c r="E918" s="8">
        <v>1</v>
      </c>
      <c r="F918" s="5" t="s">
        <v>1109</v>
      </c>
      <c r="G918" s="12" t="s">
        <v>1189</v>
      </c>
      <c r="H918" s="8" t="s">
        <v>580</v>
      </c>
      <c r="I918" s="8" t="s">
        <v>25</v>
      </c>
      <c r="J918" s="8" t="s">
        <v>26</v>
      </c>
      <c r="K918" s="13">
        <v>45744</v>
      </c>
      <c r="L918" s="13">
        <v>46086</v>
      </c>
      <c r="M918" s="8" t="s">
        <v>1272</v>
      </c>
      <c r="N918" s="8">
        <v>35100</v>
      </c>
      <c r="O918" s="14">
        <f t="shared" si="26"/>
        <v>35100</v>
      </c>
      <c r="P918" s="8" t="s">
        <v>50</v>
      </c>
      <c r="Q918" s="44" t="s">
        <v>1273</v>
      </c>
      <c r="R918" s="9">
        <v>9619845720</v>
      </c>
      <c r="S918" s="9" t="s">
        <v>1274</v>
      </c>
      <c r="T918" s="8" t="s">
        <v>941</v>
      </c>
      <c r="U918" s="8"/>
    </row>
    <row r="919" spans="1:21" s="3" customFormat="1" ht="26.4" x14ac:dyDescent="0.3">
      <c r="A919" s="31" t="s">
        <v>1128</v>
      </c>
      <c r="B919" s="31" t="s">
        <v>1129</v>
      </c>
      <c r="C919" s="31" t="s">
        <v>37</v>
      </c>
      <c r="D919" s="5" t="s">
        <v>22</v>
      </c>
      <c r="E919" s="11">
        <v>1</v>
      </c>
      <c r="F919" s="11" t="s">
        <v>1105</v>
      </c>
      <c r="G919" s="11" t="s">
        <v>23</v>
      </c>
      <c r="H919" s="11" t="s">
        <v>24</v>
      </c>
      <c r="I919" s="11" t="s">
        <v>25</v>
      </c>
      <c r="J919" s="11" t="s">
        <v>26</v>
      </c>
      <c r="K919" s="50">
        <v>43495</v>
      </c>
      <c r="L919" s="50">
        <v>46071</v>
      </c>
      <c r="M919" s="5" t="s">
        <v>1125</v>
      </c>
      <c r="N919" s="31">
        <v>245558</v>
      </c>
      <c r="O919" s="55">
        <f t="shared" si="26"/>
        <v>245558</v>
      </c>
      <c r="P919" s="31" t="s">
        <v>73</v>
      </c>
      <c r="Q919" s="43" t="s">
        <v>393</v>
      </c>
      <c r="R919" s="5">
        <v>25447696</v>
      </c>
      <c r="S919" s="5" t="s">
        <v>394</v>
      </c>
      <c r="T919" s="31" t="s">
        <v>538</v>
      </c>
      <c r="U919" s="31"/>
    </row>
    <row r="920" spans="1:21" s="1" customFormat="1" ht="26.4" x14ac:dyDescent="0.3">
      <c r="A920" s="11" t="s">
        <v>792</v>
      </c>
      <c r="B920" s="12" t="s">
        <v>249</v>
      </c>
      <c r="C920" s="12"/>
      <c r="D920" s="12" t="s">
        <v>49</v>
      </c>
      <c r="E920" s="12">
        <v>1</v>
      </c>
      <c r="F920" s="5" t="s">
        <v>970</v>
      </c>
      <c r="G920" s="12" t="s">
        <v>23</v>
      </c>
      <c r="H920" s="12" t="s">
        <v>24</v>
      </c>
      <c r="I920" s="12" t="s">
        <v>25</v>
      </c>
      <c r="J920" s="12" t="s">
        <v>72</v>
      </c>
      <c r="K920" s="15">
        <v>40890</v>
      </c>
      <c r="L920" s="15">
        <v>46073</v>
      </c>
      <c r="M920" s="12" t="s">
        <v>973</v>
      </c>
      <c r="N920" s="14">
        <v>438299</v>
      </c>
      <c r="O920" s="14">
        <f t="shared" si="26"/>
        <v>438299</v>
      </c>
      <c r="P920" s="17" t="s">
        <v>50</v>
      </c>
      <c r="Q920" s="7" t="s">
        <v>1117</v>
      </c>
      <c r="R920" s="8" t="s">
        <v>1118</v>
      </c>
      <c r="S920" s="8" t="s">
        <v>1119</v>
      </c>
      <c r="T920" s="12" t="s">
        <v>1145</v>
      </c>
      <c r="U920" s="12" t="s">
        <v>37</v>
      </c>
    </row>
    <row r="921" spans="1:21" s="3" customFormat="1" ht="26.4" x14ac:dyDescent="0.3">
      <c r="A921" s="31" t="s">
        <v>1139</v>
      </c>
      <c r="B921" s="12" t="s">
        <v>1127</v>
      </c>
      <c r="C921" s="16"/>
      <c r="D921" s="8" t="s">
        <v>22</v>
      </c>
      <c r="E921" s="12">
        <v>1</v>
      </c>
      <c r="F921" s="11" t="s">
        <v>1105</v>
      </c>
      <c r="G921" s="12" t="s">
        <v>23</v>
      </c>
      <c r="H921" s="12" t="s">
        <v>24</v>
      </c>
      <c r="I921" s="12" t="s">
        <v>25</v>
      </c>
      <c r="J921" s="12" t="s">
        <v>72</v>
      </c>
      <c r="K921" s="15">
        <v>43495</v>
      </c>
      <c r="L921" s="15">
        <v>46071</v>
      </c>
      <c r="M921" s="8" t="s">
        <v>1125</v>
      </c>
      <c r="N921" s="16">
        <v>375709</v>
      </c>
      <c r="O921" s="14">
        <f t="shared" si="26"/>
        <v>375709</v>
      </c>
      <c r="P921" s="16" t="s">
        <v>50</v>
      </c>
      <c r="Q921" s="7" t="s">
        <v>393</v>
      </c>
      <c r="R921" s="8">
        <v>25447696</v>
      </c>
      <c r="S921" s="8" t="s">
        <v>394</v>
      </c>
      <c r="T921" s="16" t="s">
        <v>538</v>
      </c>
      <c r="U921" s="16"/>
    </row>
    <row r="922" spans="1:21" s="3" customFormat="1" ht="66" hidden="1" x14ac:dyDescent="0.3">
      <c r="A922" s="37" t="s">
        <v>1042</v>
      </c>
      <c r="B922" s="38" t="s">
        <v>1043</v>
      </c>
      <c r="C922" s="38" t="s">
        <v>1192</v>
      </c>
      <c r="D922" s="38" t="s">
        <v>998</v>
      </c>
      <c r="E922" s="31">
        <v>40</v>
      </c>
      <c r="F922" s="31" t="s">
        <v>83</v>
      </c>
      <c r="G922" s="31" t="s">
        <v>998</v>
      </c>
      <c r="H922" s="31" t="s">
        <v>311</v>
      </c>
      <c r="I922" s="11" t="s">
        <v>312</v>
      </c>
      <c r="J922" s="31" t="s">
        <v>26</v>
      </c>
      <c r="K922" s="51">
        <v>43021</v>
      </c>
      <c r="L922" s="53">
        <v>46078</v>
      </c>
      <c r="M922" s="38" t="s">
        <v>1191</v>
      </c>
      <c r="N922" s="95">
        <v>35461</v>
      </c>
      <c r="O922" s="55">
        <f t="shared" ref="O922:O932" si="27">N922*E922</f>
        <v>1418440</v>
      </c>
      <c r="P922" s="31"/>
      <c r="Q922" s="31"/>
      <c r="R922" s="31"/>
      <c r="S922" s="31"/>
      <c r="T922" s="31"/>
      <c r="U922" s="31"/>
    </row>
    <row r="923" spans="1:21" s="8" customFormat="1" x14ac:dyDescent="0.3">
      <c r="A923" s="5" t="s">
        <v>1339</v>
      </c>
      <c r="B923" s="5" t="s">
        <v>1392</v>
      </c>
      <c r="C923" s="5" t="s">
        <v>37</v>
      </c>
      <c r="D923" s="11" t="s">
        <v>265</v>
      </c>
      <c r="E923" s="5">
        <v>7</v>
      </c>
      <c r="F923" s="5" t="s">
        <v>907</v>
      </c>
      <c r="G923" s="5" t="s">
        <v>23</v>
      </c>
      <c r="H923" s="5" t="s">
        <v>24</v>
      </c>
      <c r="I923" s="5" t="s">
        <v>25</v>
      </c>
      <c r="J923" s="5" t="s">
        <v>26</v>
      </c>
      <c r="K923" s="52">
        <v>45716</v>
      </c>
      <c r="L923" s="52">
        <v>46101</v>
      </c>
      <c r="M923" s="5" t="s">
        <v>1276</v>
      </c>
      <c r="N923" s="55">
        <v>33531</v>
      </c>
      <c r="O923" s="55">
        <f t="shared" si="27"/>
        <v>234717</v>
      </c>
      <c r="P923" s="5" t="s">
        <v>50</v>
      </c>
      <c r="Q923" s="5"/>
      <c r="R923" s="5"/>
      <c r="S923" s="5"/>
      <c r="T923" s="5" t="s">
        <v>41</v>
      </c>
      <c r="U923" s="5"/>
    </row>
    <row r="924" spans="1:21" s="8" customFormat="1" ht="26.4" x14ac:dyDescent="0.3">
      <c r="A924" s="5" t="s">
        <v>1053</v>
      </c>
      <c r="B924" s="5" t="s">
        <v>1389</v>
      </c>
      <c r="C924" s="5" t="s">
        <v>1055</v>
      </c>
      <c r="D924" s="5" t="s">
        <v>1390</v>
      </c>
      <c r="E924" s="5">
        <v>1</v>
      </c>
      <c r="F924" s="5" t="s">
        <v>1383</v>
      </c>
      <c r="G924" s="5" t="s">
        <v>23</v>
      </c>
      <c r="H924" s="5" t="s">
        <v>580</v>
      </c>
      <c r="I924" s="5" t="s">
        <v>25</v>
      </c>
      <c r="J924" s="5" t="s">
        <v>26</v>
      </c>
      <c r="K924" s="52">
        <v>43547</v>
      </c>
      <c r="L924" s="52">
        <v>46104</v>
      </c>
      <c r="M924" s="5" t="s">
        <v>1387</v>
      </c>
      <c r="N924" s="55">
        <v>37770.769999999997</v>
      </c>
      <c r="O924" s="55">
        <f t="shared" si="27"/>
        <v>37770.769999999997</v>
      </c>
      <c r="P924" s="5" t="s">
        <v>50</v>
      </c>
      <c r="Q924" s="43" t="s">
        <v>1259</v>
      </c>
      <c r="R924" s="5">
        <v>9820023829</v>
      </c>
      <c r="S924" s="5" t="s">
        <v>1260</v>
      </c>
      <c r="T924" s="5" t="s">
        <v>58</v>
      </c>
      <c r="U924" s="5"/>
    </row>
    <row r="925" spans="1:21" s="8" customFormat="1" ht="26.4" x14ac:dyDescent="0.3">
      <c r="A925" s="5" t="s">
        <v>1053</v>
      </c>
      <c r="B925" s="5" t="s">
        <v>1389</v>
      </c>
      <c r="C925" s="5" t="s">
        <v>1055</v>
      </c>
      <c r="D925" s="5" t="s">
        <v>1391</v>
      </c>
      <c r="E925" s="5">
        <v>1</v>
      </c>
      <c r="F925" s="5" t="s">
        <v>1383</v>
      </c>
      <c r="G925" s="5" t="s">
        <v>23</v>
      </c>
      <c r="H925" s="5" t="s">
        <v>580</v>
      </c>
      <c r="I925" s="5" t="s">
        <v>25</v>
      </c>
      <c r="J925" s="5" t="s">
        <v>26</v>
      </c>
      <c r="K925" s="52">
        <v>43547</v>
      </c>
      <c r="L925" s="52">
        <v>46104</v>
      </c>
      <c r="M925" s="5" t="s">
        <v>1387</v>
      </c>
      <c r="N925" s="55">
        <v>37770.769999999997</v>
      </c>
      <c r="O925" s="55">
        <f t="shared" si="27"/>
        <v>37770.769999999997</v>
      </c>
      <c r="P925" s="5" t="s">
        <v>50</v>
      </c>
      <c r="Q925" s="43" t="s">
        <v>1259</v>
      </c>
      <c r="R925" s="5">
        <v>9820023829</v>
      </c>
      <c r="S925" s="5" t="s">
        <v>1260</v>
      </c>
      <c r="T925" s="5" t="s">
        <v>58</v>
      </c>
      <c r="U925" s="5"/>
    </row>
    <row r="926" spans="1:21" s="8" customFormat="1" ht="26.4" hidden="1" x14ac:dyDescent="0.3">
      <c r="A926" s="5" t="s">
        <v>1053</v>
      </c>
      <c r="B926" s="5" t="s">
        <v>1389</v>
      </c>
      <c r="C926" s="5" t="s">
        <v>1055</v>
      </c>
      <c r="D926" s="5" t="s">
        <v>998</v>
      </c>
      <c r="E926" s="5">
        <v>1</v>
      </c>
      <c r="F926" s="5" t="s">
        <v>1383</v>
      </c>
      <c r="G926" s="5" t="s">
        <v>998</v>
      </c>
      <c r="H926" s="5" t="s">
        <v>580</v>
      </c>
      <c r="I926" s="5" t="s">
        <v>25</v>
      </c>
      <c r="J926" s="5" t="s">
        <v>26</v>
      </c>
      <c r="K926" s="52">
        <v>43547</v>
      </c>
      <c r="L926" s="52">
        <v>46104</v>
      </c>
      <c r="M926" s="5" t="s">
        <v>1387</v>
      </c>
      <c r="N926" s="55">
        <v>37770.769999999997</v>
      </c>
      <c r="O926" s="55">
        <f t="shared" si="27"/>
        <v>37770.769999999997</v>
      </c>
      <c r="P926" s="5" t="s">
        <v>73</v>
      </c>
      <c r="Q926" s="43" t="s">
        <v>1259</v>
      </c>
      <c r="R926" s="5">
        <v>9820023829</v>
      </c>
      <c r="S926" s="5" t="s">
        <v>1260</v>
      </c>
      <c r="T926" s="5" t="s">
        <v>58</v>
      </c>
      <c r="U926" s="5"/>
    </row>
    <row r="927" spans="1:21" s="8" customFormat="1" ht="39.6" hidden="1" x14ac:dyDescent="0.3">
      <c r="A927" s="5" t="s">
        <v>1084</v>
      </c>
      <c r="B927" s="5" t="s">
        <v>1414</v>
      </c>
      <c r="C927" s="5" t="s">
        <v>1418</v>
      </c>
      <c r="D927" s="5" t="s">
        <v>998</v>
      </c>
      <c r="E927" s="5">
        <v>3</v>
      </c>
      <c r="F927" s="5" t="s">
        <v>1415</v>
      </c>
      <c r="G927" s="5" t="s">
        <v>998</v>
      </c>
      <c r="H927" s="5" t="s">
        <v>24</v>
      </c>
      <c r="I927" s="5" t="s">
        <v>25</v>
      </c>
      <c r="J927" s="5" t="s">
        <v>26</v>
      </c>
      <c r="K927" s="52">
        <v>43385</v>
      </c>
      <c r="L927" s="52">
        <v>46106</v>
      </c>
      <c r="M927" s="5" t="s">
        <v>1413</v>
      </c>
      <c r="N927" s="55">
        <v>857233</v>
      </c>
      <c r="O927" s="55">
        <f t="shared" si="27"/>
        <v>2571699</v>
      </c>
      <c r="P927" s="5"/>
      <c r="Q927" s="47" t="s">
        <v>1120</v>
      </c>
      <c r="R927" s="5" t="s">
        <v>1121</v>
      </c>
      <c r="S927" s="5" t="s">
        <v>1122</v>
      </c>
      <c r="T927" s="5" t="s">
        <v>1144</v>
      </c>
      <c r="U927" s="5"/>
    </row>
    <row r="928" spans="1:21" s="8" customFormat="1" ht="26.4" hidden="1" x14ac:dyDescent="0.3">
      <c r="A928" s="5" t="s">
        <v>1416</v>
      </c>
      <c r="B928" s="5" t="s">
        <v>1417</v>
      </c>
      <c r="C928" s="5" t="s">
        <v>37</v>
      </c>
      <c r="D928" s="5" t="s">
        <v>998</v>
      </c>
      <c r="E928" s="5">
        <v>3</v>
      </c>
      <c r="F928" s="5" t="s">
        <v>1415</v>
      </c>
      <c r="G928" s="5" t="s">
        <v>998</v>
      </c>
      <c r="H928" s="5" t="s">
        <v>24</v>
      </c>
      <c r="I928" s="5" t="s">
        <v>25</v>
      </c>
      <c r="J928" s="5" t="s">
        <v>26</v>
      </c>
      <c r="K928" s="52">
        <v>43385</v>
      </c>
      <c r="L928" s="52">
        <v>46106</v>
      </c>
      <c r="M928" s="5" t="s">
        <v>1413</v>
      </c>
      <c r="N928" s="55">
        <v>21000</v>
      </c>
      <c r="O928" s="55">
        <f t="shared" si="27"/>
        <v>63000</v>
      </c>
      <c r="P928" s="5"/>
      <c r="Q928" s="47" t="s">
        <v>1120</v>
      </c>
      <c r="R928" s="5" t="s">
        <v>1121</v>
      </c>
      <c r="S928" s="5" t="s">
        <v>1122</v>
      </c>
      <c r="T928" s="5" t="s">
        <v>1144</v>
      </c>
      <c r="U928" s="5"/>
    </row>
    <row r="929" spans="1:22" s="8" customFormat="1" ht="26.4" hidden="1" x14ac:dyDescent="0.3">
      <c r="A929" s="5" t="s">
        <v>1419</v>
      </c>
      <c r="B929" s="5" t="s">
        <v>1420</v>
      </c>
      <c r="C929" s="5" t="s">
        <v>37</v>
      </c>
      <c r="D929" s="5" t="s">
        <v>998</v>
      </c>
      <c r="E929" s="5">
        <v>3</v>
      </c>
      <c r="F929" s="5" t="s">
        <v>1415</v>
      </c>
      <c r="G929" s="5" t="s">
        <v>998</v>
      </c>
      <c r="H929" s="5" t="s">
        <v>24</v>
      </c>
      <c r="I929" s="5" t="s">
        <v>25</v>
      </c>
      <c r="J929" s="5" t="s">
        <v>26</v>
      </c>
      <c r="K929" s="52">
        <v>43385</v>
      </c>
      <c r="L929" s="52">
        <v>46106</v>
      </c>
      <c r="M929" s="5" t="s">
        <v>1413</v>
      </c>
      <c r="N929" s="55">
        <v>9430</v>
      </c>
      <c r="O929" s="55">
        <f t="shared" si="27"/>
        <v>28290</v>
      </c>
      <c r="P929" s="5"/>
      <c r="Q929" s="47" t="s">
        <v>1120</v>
      </c>
      <c r="R929" s="5" t="s">
        <v>1121</v>
      </c>
      <c r="S929" s="5" t="s">
        <v>1122</v>
      </c>
      <c r="T929" s="5" t="s">
        <v>1144</v>
      </c>
      <c r="U929" s="5"/>
    </row>
    <row r="930" spans="1:22" s="8" customFormat="1" ht="26.4" hidden="1" x14ac:dyDescent="0.3">
      <c r="A930" s="5" t="s">
        <v>1421</v>
      </c>
      <c r="B930" s="5" t="s">
        <v>1422</v>
      </c>
      <c r="C930" s="5" t="s">
        <v>37</v>
      </c>
      <c r="D930" s="5" t="s">
        <v>998</v>
      </c>
      <c r="E930" s="5">
        <v>3</v>
      </c>
      <c r="F930" s="5" t="s">
        <v>1415</v>
      </c>
      <c r="G930" s="5" t="s">
        <v>998</v>
      </c>
      <c r="H930" s="5" t="s">
        <v>24</v>
      </c>
      <c r="I930" s="5" t="s">
        <v>25</v>
      </c>
      <c r="J930" s="5" t="s">
        <v>26</v>
      </c>
      <c r="K930" s="52">
        <v>43385</v>
      </c>
      <c r="L930" s="52">
        <v>46106</v>
      </c>
      <c r="M930" s="5" t="s">
        <v>1413</v>
      </c>
      <c r="N930" s="55">
        <v>5143</v>
      </c>
      <c r="O930" s="55">
        <f t="shared" si="27"/>
        <v>15429</v>
      </c>
      <c r="P930" s="5"/>
      <c r="Q930" s="47" t="s">
        <v>1120</v>
      </c>
      <c r="R930" s="5" t="s">
        <v>1121</v>
      </c>
      <c r="S930" s="5" t="s">
        <v>1122</v>
      </c>
      <c r="T930" s="5" t="s">
        <v>1144</v>
      </c>
      <c r="U930" s="5"/>
    </row>
    <row r="931" spans="1:22" s="8" customFormat="1" ht="26.4" hidden="1" x14ac:dyDescent="0.3">
      <c r="A931" s="5" t="s">
        <v>1423</v>
      </c>
      <c r="B931" s="5" t="s">
        <v>1424</v>
      </c>
      <c r="C931" s="5" t="s">
        <v>37</v>
      </c>
      <c r="D931" s="5" t="s">
        <v>998</v>
      </c>
      <c r="E931" s="5">
        <v>3</v>
      </c>
      <c r="F931" s="5" t="s">
        <v>1415</v>
      </c>
      <c r="G931" s="5" t="s">
        <v>998</v>
      </c>
      <c r="H931" s="5" t="s">
        <v>24</v>
      </c>
      <c r="I931" s="5" t="s">
        <v>25</v>
      </c>
      <c r="J931" s="5" t="s">
        <v>26</v>
      </c>
      <c r="K931" s="52">
        <v>43385</v>
      </c>
      <c r="L931" s="52">
        <v>46106</v>
      </c>
      <c r="M931" s="5" t="s">
        <v>1413</v>
      </c>
      <c r="N931" s="55">
        <v>15536</v>
      </c>
      <c r="O931" s="55">
        <f t="shared" si="27"/>
        <v>46608</v>
      </c>
      <c r="P931" s="5"/>
      <c r="Q931" s="47" t="s">
        <v>1120</v>
      </c>
      <c r="R931" s="5" t="s">
        <v>1121</v>
      </c>
      <c r="S931" s="5" t="s">
        <v>1122</v>
      </c>
      <c r="T931" s="5" t="s">
        <v>1144</v>
      </c>
      <c r="U931" s="5"/>
    </row>
    <row r="932" spans="1:22" s="49" customFormat="1" ht="26.4" hidden="1" x14ac:dyDescent="0.3">
      <c r="A932" s="48" t="s">
        <v>1425</v>
      </c>
      <c r="B932" s="48" t="s">
        <v>1426</v>
      </c>
      <c r="C932" s="48" t="s">
        <v>37</v>
      </c>
      <c r="D932" s="48" t="s">
        <v>998</v>
      </c>
      <c r="E932" s="48">
        <v>3</v>
      </c>
      <c r="F932" s="48" t="s">
        <v>1415</v>
      </c>
      <c r="G932" s="48" t="s">
        <v>998</v>
      </c>
      <c r="H932" s="48" t="s">
        <v>24</v>
      </c>
      <c r="I932" s="48" t="s">
        <v>25</v>
      </c>
      <c r="J932" s="48" t="s">
        <v>26</v>
      </c>
      <c r="K932" s="96">
        <v>43385</v>
      </c>
      <c r="L932" s="96">
        <v>46106</v>
      </c>
      <c r="M932" s="48" t="s">
        <v>1413</v>
      </c>
      <c r="N932" s="97">
        <v>21431</v>
      </c>
      <c r="O932" s="97">
        <f t="shared" si="27"/>
        <v>64293</v>
      </c>
      <c r="P932" s="48"/>
      <c r="Q932" s="64" t="s">
        <v>1120</v>
      </c>
      <c r="R932" s="48" t="s">
        <v>1121</v>
      </c>
      <c r="S932" s="48" t="s">
        <v>1122</v>
      </c>
      <c r="T932" s="48" t="s">
        <v>1144</v>
      </c>
      <c r="U932" s="48"/>
    </row>
    <row r="933" spans="1:22" ht="26.4" hidden="1" x14ac:dyDescent="0.3">
      <c r="A933" s="5" t="s">
        <v>996</v>
      </c>
      <c r="B933" s="5" t="s">
        <v>997</v>
      </c>
      <c r="C933" s="25" t="s">
        <v>582</v>
      </c>
      <c r="D933" s="48" t="s">
        <v>998</v>
      </c>
      <c r="E933" s="5">
        <v>2</v>
      </c>
      <c r="F933" s="5" t="s">
        <v>999</v>
      </c>
      <c r="G933" s="11" t="s">
        <v>998</v>
      </c>
      <c r="H933" s="11" t="s">
        <v>1001</v>
      </c>
      <c r="I933" s="11" t="s">
        <v>25</v>
      </c>
      <c r="J933" s="11" t="s">
        <v>26</v>
      </c>
      <c r="K933" s="52">
        <v>45446</v>
      </c>
      <c r="L933" s="52">
        <v>45704</v>
      </c>
      <c r="M933" s="5" t="s">
        <v>1000</v>
      </c>
      <c r="N933" s="5">
        <v>8246</v>
      </c>
      <c r="O933" s="55">
        <v>16492</v>
      </c>
      <c r="P933" s="11" t="s">
        <v>50</v>
      </c>
      <c r="Q933" s="43" t="s">
        <v>1013</v>
      </c>
      <c r="R933" s="5">
        <v>225316608</v>
      </c>
      <c r="S933" s="5" t="s">
        <v>1014</v>
      </c>
      <c r="T933" s="5" t="s">
        <v>41</v>
      </c>
      <c r="U933" s="5"/>
      <c r="V933" s="5"/>
    </row>
    <row r="934" spans="1:22" ht="26.4" hidden="1" x14ac:dyDescent="0.3">
      <c r="A934" s="5" t="s">
        <v>1015</v>
      </c>
      <c r="B934" s="5" t="s">
        <v>1016</v>
      </c>
      <c r="C934" s="25" t="s">
        <v>582</v>
      </c>
      <c r="D934" s="48" t="s">
        <v>998</v>
      </c>
      <c r="E934" s="5">
        <v>1</v>
      </c>
      <c r="F934" s="5" t="s">
        <v>999</v>
      </c>
      <c r="G934" s="11" t="s">
        <v>998</v>
      </c>
      <c r="H934" s="11" t="s">
        <v>1001</v>
      </c>
      <c r="I934" s="11" t="s">
        <v>25</v>
      </c>
      <c r="J934" s="11" t="s">
        <v>26</v>
      </c>
      <c r="K934" s="52">
        <v>45446</v>
      </c>
      <c r="L934" s="52">
        <v>45704</v>
      </c>
      <c r="M934" s="5" t="s">
        <v>1000</v>
      </c>
      <c r="N934" s="5">
        <v>8312</v>
      </c>
      <c r="O934" s="55">
        <v>8312</v>
      </c>
      <c r="P934" s="11" t="s">
        <v>50</v>
      </c>
      <c r="Q934" s="43" t="s">
        <v>1013</v>
      </c>
      <c r="R934" s="5">
        <v>225316608</v>
      </c>
      <c r="S934" s="5" t="s">
        <v>1014</v>
      </c>
      <c r="T934" s="5" t="s">
        <v>41</v>
      </c>
      <c r="U934" s="5"/>
      <c r="V934" s="5"/>
    </row>
    <row r="935" spans="1:22" ht="27.6" hidden="1" customHeight="1" x14ac:dyDescent="0.3">
      <c r="A935" s="5" t="s">
        <v>1015</v>
      </c>
      <c r="B935" s="5" t="s">
        <v>1016</v>
      </c>
      <c r="C935" s="25" t="s">
        <v>582</v>
      </c>
      <c r="D935" s="48" t="s">
        <v>998</v>
      </c>
      <c r="E935" s="5">
        <v>1</v>
      </c>
      <c r="F935" s="5" t="s">
        <v>999</v>
      </c>
      <c r="G935" s="11" t="s">
        <v>998</v>
      </c>
      <c r="H935" s="11" t="s">
        <v>1001</v>
      </c>
      <c r="I935" s="11" t="s">
        <v>25</v>
      </c>
      <c r="J935" s="11" t="s">
        <v>26</v>
      </c>
      <c r="K935" s="52">
        <v>45446</v>
      </c>
      <c r="L935" s="52">
        <v>45704</v>
      </c>
      <c r="M935" s="5" t="s">
        <v>1000</v>
      </c>
      <c r="N935" s="5">
        <v>8312</v>
      </c>
      <c r="O935" s="55">
        <v>8312</v>
      </c>
      <c r="P935" s="11" t="s">
        <v>50</v>
      </c>
      <c r="Q935" s="43" t="s">
        <v>1013</v>
      </c>
      <c r="R935" s="5">
        <v>225316608</v>
      </c>
      <c r="S935" s="5" t="s">
        <v>1014</v>
      </c>
      <c r="T935" s="5" t="s">
        <v>41</v>
      </c>
      <c r="U935" s="5"/>
      <c r="V935" s="5"/>
    </row>
    <row r="936" spans="1:22" ht="26.4" hidden="1" x14ac:dyDescent="0.3">
      <c r="A936" s="5" t="s">
        <v>1015</v>
      </c>
      <c r="B936" s="5" t="s">
        <v>1016</v>
      </c>
      <c r="C936" s="25" t="s">
        <v>582</v>
      </c>
      <c r="D936" s="48" t="s">
        <v>998</v>
      </c>
      <c r="E936" s="5">
        <v>1</v>
      </c>
      <c r="F936" s="5" t="s">
        <v>999</v>
      </c>
      <c r="G936" s="11" t="s">
        <v>998</v>
      </c>
      <c r="H936" s="11" t="s">
        <v>1001</v>
      </c>
      <c r="I936" s="11" t="s">
        <v>25</v>
      </c>
      <c r="J936" s="11" t="s">
        <v>26</v>
      </c>
      <c r="K936" s="52">
        <v>45446</v>
      </c>
      <c r="L936" s="52">
        <v>45704</v>
      </c>
      <c r="M936" s="5" t="s">
        <v>1000</v>
      </c>
      <c r="N936" s="5">
        <v>8312</v>
      </c>
      <c r="O936" s="55">
        <v>8312</v>
      </c>
      <c r="P936" s="11" t="s">
        <v>50</v>
      </c>
      <c r="Q936" s="43" t="s">
        <v>1013</v>
      </c>
      <c r="R936" s="5">
        <v>225316608</v>
      </c>
      <c r="S936" s="5" t="s">
        <v>1014</v>
      </c>
      <c r="T936" s="5" t="s">
        <v>41</v>
      </c>
      <c r="U936" s="5"/>
      <c r="V936" s="5"/>
    </row>
    <row r="937" spans="1:22" ht="26.4" hidden="1" x14ac:dyDescent="0.3">
      <c r="A937" s="5" t="s">
        <v>1015</v>
      </c>
      <c r="B937" s="5" t="s">
        <v>1016</v>
      </c>
      <c r="C937" s="25" t="s">
        <v>582</v>
      </c>
      <c r="D937" s="48" t="s">
        <v>998</v>
      </c>
      <c r="E937" s="5">
        <v>1</v>
      </c>
      <c r="F937" s="5" t="s">
        <v>999</v>
      </c>
      <c r="G937" s="11" t="s">
        <v>998</v>
      </c>
      <c r="H937" s="11" t="s">
        <v>1001</v>
      </c>
      <c r="I937" s="11" t="s">
        <v>25</v>
      </c>
      <c r="J937" s="11" t="s">
        <v>26</v>
      </c>
      <c r="K937" s="52">
        <v>45446</v>
      </c>
      <c r="L937" s="52">
        <v>45704</v>
      </c>
      <c r="M937" s="5" t="s">
        <v>1000</v>
      </c>
      <c r="N937" s="5">
        <v>8312</v>
      </c>
      <c r="O937" s="55">
        <v>8312</v>
      </c>
      <c r="P937" s="11" t="s">
        <v>50</v>
      </c>
      <c r="Q937" s="43" t="s">
        <v>1013</v>
      </c>
      <c r="R937" s="5">
        <v>225316608</v>
      </c>
      <c r="S937" s="5" t="s">
        <v>1014</v>
      </c>
      <c r="T937" s="5" t="s">
        <v>41</v>
      </c>
      <c r="U937" s="5"/>
      <c r="V937" s="5"/>
    </row>
    <row r="938" spans="1:22" ht="17.399999999999999" x14ac:dyDescent="0.3">
      <c r="A938" s="70"/>
      <c r="B938" s="71"/>
    </row>
    <row r="939" spans="1:22" ht="17.399999999999999" x14ac:dyDescent="0.3">
      <c r="A939" s="72"/>
    </row>
    <row r="1048533" spans="9:9" x14ac:dyDescent="0.3">
      <c r="I1048533" s="67" t="s">
        <v>25</v>
      </c>
    </row>
  </sheetData>
  <autoFilter ref="A1:U937" xr:uid="{00000000-0001-0000-0000-000000000000}">
    <filterColumn colId="6">
      <filters>
        <filter val="Temghar"/>
      </filters>
    </filterColumn>
  </autoFilter>
  <phoneticPr fontId="6" type="noConversion"/>
  <hyperlinks>
    <hyperlink ref="Q335" r:id="rId1" xr:uid="{29FEC9ED-62C8-4528-B392-DA610EE74826}"/>
    <hyperlink ref="Q280" r:id="rId2" xr:uid="{4E627440-D848-4592-82E9-028099DAFCEA}"/>
    <hyperlink ref="Q287" r:id="rId3" xr:uid="{320BCB46-09BA-45D2-A8FB-6823CF21F0F3}"/>
    <hyperlink ref="Q337" r:id="rId4" xr:uid="{E95CFA2B-2CBD-49F1-9F39-B28F409B8126}"/>
    <hyperlink ref="Q338" r:id="rId5" xr:uid="{A247AC0B-F892-4A47-BA31-60E143D6B5C6}"/>
    <hyperlink ref="Q347" r:id="rId6" xr:uid="{27CABDA2-B989-4584-88D2-0642A4FC3775}"/>
    <hyperlink ref="Q348" r:id="rId7" xr:uid="{4534F2E8-B5A5-42FB-A299-211E1D0EB202}"/>
    <hyperlink ref="Q640" r:id="rId8" xr:uid="{527808F7-1184-4805-9B6F-96B3C1D5CD49}"/>
    <hyperlink ref="U325" r:id="rId9" xr:uid="{3A76BCE6-A427-41CC-B02A-2A96E81DD3FE}"/>
    <hyperlink ref="U326" r:id="rId10" xr:uid="{B7D1211F-8B4C-45BA-8B15-7C5693090F4D}"/>
    <hyperlink ref="U329" r:id="rId11" xr:uid="{14B1CE17-2284-42F9-B666-99F463B5343D}"/>
    <hyperlink ref="U331" r:id="rId12" xr:uid="{CBDE05FA-EBA2-46D3-94D8-8E01ED98B8D5}"/>
    <hyperlink ref="U332" r:id="rId13" xr:uid="{C0696220-54DA-4A1B-98AE-5ED3DD15BBEB}"/>
    <hyperlink ref="U333" r:id="rId14" xr:uid="{6D3284C2-A4D3-4F6F-B43E-33EB41C16BF9}"/>
    <hyperlink ref="U336" r:id="rId15" xr:uid="{A50377F6-37B0-42E3-AD20-6BCB664F16CE}"/>
    <hyperlink ref="U337" r:id="rId16" xr:uid="{72FB0271-EF61-4652-9148-F5A378FC582A}"/>
    <hyperlink ref="U338" r:id="rId17" xr:uid="{22EA3422-7255-4539-9A67-C191449729B4}"/>
    <hyperlink ref="U339" r:id="rId18" xr:uid="{B81BF012-E37C-463A-9D42-2FC68F0FDA3D}"/>
    <hyperlink ref="U342" r:id="rId19" xr:uid="{78AF3887-5897-4959-9524-FCC30C69E050}"/>
    <hyperlink ref="U353" r:id="rId20" xr:uid="{91ED6F82-9D68-46B0-B72E-D4AB0B11AB84}"/>
    <hyperlink ref="U354" r:id="rId21" xr:uid="{1B07BC20-8A2D-4CF1-9E46-A411BA181A73}"/>
    <hyperlink ref="U355" r:id="rId22" xr:uid="{7213DDAB-61B6-4864-A12C-5C784A41CE60}"/>
    <hyperlink ref="U356" r:id="rId23" xr:uid="{1102AE47-D7C4-4AD2-9DD9-D5A01ACBCA35}"/>
    <hyperlink ref="U357" r:id="rId24" xr:uid="{BFEF9922-7DE2-498A-A483-A8919F52244E}"/>
    <hyperlink ref="U394" r:id="rId25" xr:uid="{E41E974D-E847-4069-BF34-33FE30A50316}"/>
    <hyperlink ref="U395" r:id="rId26" xr:uid="{3C366088-C9A4-43CC-8FF2-1F0B78D7D438}"/>
    <hyperlink ref="U396" r:id="rId27" xr:uid="{EC9141F0-FC14-4C7C-9276-E95574298046}"/>
    <hyperlink ref="U397" r:id="rId28" xr:uid="{B9FDB845-75B1-45C5-A10B-687962D1F2A8}"/>
    <hyperlink ref="U398" r:id="rId29" xr:uid="{840DC57F-7E59-4704-9F06-31FAAA49F6A2}"/>
    <hyperlink ref="U399" r:id="rId30" xr:uid="{BD1F8238-CB77-454C-9040-5DDFE8D9ACA9}"/>
    <hyperlink ref="U400" r:id="rId31" xr:uid="{8A03011A-FFCA-4C6E-8A59-F22FAA2478A1}"/>
    <hyperlink ref="U401" r:id="rId32" xr:uid="{0946BB3C-6080-4411-AAFA-CAE472DEE5B5}"/>
    <hyperlink ref="U403" r:id="rId33" xr:uid="{A38D6895-B491-4507-9CBA-96F7C6333B68}"/>
    <hyperlink ref="U404" r:id="rId34" xr:uid="{7B34BB3E-4148-47B0-BDD9-9D73E687E852}"/>
    <hyperlink ref="U413" r:id="rId35" xr:uid="{97ADA183-713E-4650-90FC-85B3CCD1E645}"/>
    <hyperlink ref="U414" r:id="rId36" xr:uid="{BC43C97F-30ED-4101-9648-B7172B37833B}"/>
    <hyperlink ref="U621" r:id="rId37" xr:uid="{3B5F4601-FF02-410A-8B12-A6B6DF37A53F}"/>
    <hyperlink ref="U622" r:id="rId38" xr:uid="{D0F45AD4-7FB1-4167-9EDB-971EC0007BA1}"/>
    <hyperlink ref="U623" r:id="rId39" xr:uid="{2EFB261E-1381-4E8A-8CF0-F93BB799F6AB}"/>
    <hyperlink ref="U363" r:id="rId40" xr:uid="{195651BC-403A-4B1E-8677-9569AA9A3086}"/>
    <hyperlink ref="U367" r:id="rId41" xr:uid="{78CB0469-DFBE-4C3E-BCAE-8FB98D794B10}"/>
    <hyperlink ref="U368" r:id="rId42" xr:uid="{0D534E28-FFDD-4979-8F4A-69B744FA4032}"/>
    <hyperlink ref="U369" r:id="rId43" xr:uid="{623ACB6B-20D7-4D1C-8849-A49285C0382C}"/>
    <hyperlink ref="U370" r:id="rId44" xr:uid="{54049C52-6C7A-472F-8475-80F1BF90C2FC}"/>
    <hyperlink ref="U371" r:id="rId45" xr:uid="{2A823204-2287-4D82-959F-8349CFB96EB5}"/>
    <hyperlink ref="U374" r:id="rId46" xr:uid="{06399EE4-0373-4E15-81C4-3DA109C74EE6}"/>
    <hyperlink ref="U257" r:id="rId47" xr:uid="{8A8AAAB8-4D0E-4468-996B-58AC82563421}"/>
    <hyperlink ref="U258" r:id="rId48" xr:uid="{735C5478-CBA9-42BB-BBF1-DFF766EB0DDC}"/>
    <hyperlink ref="U266" r:id="rId49" xr:uid="{3DCFACE8-122B-477A-8C68-74E3FF1589D5}"/>
    <hyperlink ref="U267" r:id="rId50" xr:uid="{69F52146-7FC3-4139-8DE6-4264388ECB97}"/>
    <hyperlink ref="U268" r:id="rId51" xr:uid="{43619323-59A4-4022-A64F-08B023520D25}"/>
    <hyperlink ref="U269" r:id="rId52" xr:uid="{BB199A17-7CD9-4571-8D7F-79C3924A06C7}"/>
    <hyperlink ref="U347" r:id="rId53" xr:uid="{8AC46A04-E688-489C-8DF1-5F7C2CB421ED}"/>
    <hyperlink ref="U344" r:id="rId54" xr:uid="{CE844A97-F0EB-4F78-BD8F-DE8EC2297015}"/>
    <hyperlink ref="U345" r:id="rId55" xr:uid="{8A4A31C6-2C4F-431F-8C98-351A368C1BA7}"/>
    <hyperlink ref="U348" r:id="rId56" xr:uid="{3782BF6F-8EDE-4415-903D-3576C8583DDB}"/>
    <hyperlink ref="U349" r:id="rId57" xr:uid="{59328732-F100-471C-A2E6-BA3C48EFA53B}"/>
    <hyperlink ref="U230" r:id="rId58" xr:uid="{394E47AA-93DE-48A9-ADFE-8A5D32F18A28}"/>
    <hyperlink ref="U358" r:id="rId59" xr:uid="{94EF3CD2-E849-4867-9749-88DF4E5581D1}"/>
    <hyperlink ref="U359" r:id="rId60" xr:uid="{81F5C71E-5970-4B2C-B473-01FB48F49728}"/>
    <hyperlink ref="U360" r:id="rId61" xr:uid="{16F87817-DB18-44D6-97CE-23C4A83F3101}"/>
    <hyperlink ref="U361" r:id="rId62" xr:uid="{B684ED74-B30F-4BF1-8784-A92D357BCF88}"/>
    <hyperlink ref="U362" r:id="rId63" xr:uid="{0FA85B1F-5C83-43EF-832B-AAB621ED4A2A}"/>
    <hyperlink ref="U388" r:id="rId64" xr:uid="{3F23401A-C1FA-4968-B343-88E68AB8BC3A}"/>
    <hyperlink ref="U386" r:id="rId65" xr:uid="{D96DEB0B-C84A-49B8-AF9E-94A43346A331}"/>
    <hyperlink ref="U387" r:id="rId66" xr:uid="{43D5ADBB-490F-4A45-8127-B4B4D890FC62}"/>
    <hyperlink ref="U389" r:id="rId67" xr:uid="{CD63E15A-E14F-49AE-A933-EFC79B5FE301}"/>
    <hyperlink ref="U390" r:id="rId68" display="wooden table" xr:uid="{426308A5-6E05-41BC-A76C-AC83CE5E55BA}"/>
    <hyperlink ref="U391" r:id="rId69" xr:uid="{F3E5C89A-33C4-4B08-B9E2-1D3F0A209246}"/>
    <hyperlink ref="U392" r:id="rId70" xr:uid="{8C4A075F-BBAA-49E5-AEC8-6443CFA8654A}"/>
    <hyperlink ref="U393" r:id="rId71" xr:uid="{61939943-1F57-4FE6-BACC-35C0DD1CCF05}"/>
    <hyperlink ref="U375" r:id="rId72" xr:uid="{E93BABD4-F54B-4163-A68B-9D48EBC01B73}"/>
    <hyperlink ref="U376" r:id="rId73" xr:uid="{86A8B870-8F7A-4140-BA58-DDEA8548B68E}"/>
    <hyperlink ref="U377" r:id="rId74" xr:uid="{5BEAB19D-9005-42A7-AE80-9814E765F14E}"/>
    <hyperlink ref="U378" r:id="rId75" xr:uid="{A9A86D50-BE51-413E-8841-61E221D6E726}"/>
    <hyperlink ref="U381" r:id="rId76" xr:uid="{96E7A6EA-2596-47CE-8E31-313F04E4F37B}"/>
    <hyperlink ref="U384" r:id="rId77" xr:uid="{F323B35D-661A-4870-A27D-EA0775918BC8}"/>
    <hyperlink ref="U231" r:id="rId78" display="Air blower set NO 1" xr:uid="{07130CC6-9B2D-4BB9-9846-DED2E40CEE22}"/>
    <hyperlink ref="U232" r:id="rId79" display="Air blower set NO 2" xr:uid="{708CBC95-7363-423B-9E27-4D50F7050EEB}"/>
    <hyperlink ref="U330" r:id="rId80" xr:uid="{5DAF9700-E2AE-4E48-99CC-4AAE77E22BCF}"/>
    <hyperlink ref="U334" r:id="rId81" xr:uid="{D74617F4-DB94-4BED-AC8A-B8A92F985309}"/>
    <hyperlink ref="U335" r:id="rId82" xr:uid="{D4B9058A-F982-42B5-A304-BB2A63252F8D}"/>
    <hyperlink ref="U340" r:id="rId83" xr:uid="{E8305E86-9048-4CA3-9663-89916669053A}"/>
    <hyperlink ref="U341" r:id="rId84" xr:uid="{A8D0A259-245D-4775-984E-E32A5CD5916A}"/>
    <hyperlink ref="U364" r:id="rId85" xr:uid="{FE7D8F19-BD19-44B7-91F3-0750655B2533}"/>
    <hyperlink ref="U372" r:id="rId86" xr:uid="{B55A22D0-28A0-4626-AAD8-B3FFAA5DCB94}"/>
    <hyperlink ref="U373" r:id="rId87" xr:uid="{2055FBA8-C8B7-4135-891C-B82D4646AF08}"/>
    <hyperlink ref="U350" r:id="rId88" xr:uid="{2FB6F552-9099-4374-9A34-57297A5C428F}"/>
    <hyperlink ref="U346" r:id="rId89" xr:uid="{10E3147F-AA3A-4411-A7E3-B0673BB6E188}"/>
    <hyperlink ref="Q672" r:id="rId90" xr:uid="{2A25C5D3-4B56-4A00-9B9F-9CBC78427E6A}"/>
    <hyperlink ref="Q673" r:id="rId91" xr:uid="{7A6652F9-21DB-405F-8E5E-E60448466DE5}"/>
    <hyperlink ref="Q670" r:id="rId92" xr:uid="{5E84D1BA-96E3-49EC-AB1B-93DB860593D6}"/>
    <hyperlink ref="U132" r:id="rId93" display="Capacitor Panel No.1" xr:uid="{59C094A5-C21A-46DA-9E5C-70D662D63F62}"/>
    <hyperlink ref="U133" r:id="rId94" display="Capacitor Panel No.2" xr:uid="{FDAE56CD-4433-4171-A7AA-3CA7654108A5}"/>
    <hyperlink ref="U134" r:id="rId95" display="Capacitor Panel No.3" xr:uid="{3F95797C-BBE8-4A41-B0AF-064E0CD53B0B}"/>
    <hyperlink ref="U135" r:id="rId96" display="Capacitor Panel No.4" xr:uid="{72CDF728-C8CF-4C45-9D75-D552C506BFC3}"/>
    <hyperlink ref="U136" r:id="rId97" display="Capacitor Panel No.5" xr:uid="{5BA64002-D93F-4DD0-BD5B-F6C911242A77}"/>
    <hyperlink ref="U137" r:id="rId98" display="Capacitor Panel No.6" xr:uid="{BACDAA8D-F5BA-4B30-8407-6D1A8E5CED58}"/>
    <hyperlink ref="U138" r:id="rId99" display="Capacitor Panel No.7" xr:uid="{B9D2AD35-10B6-4606-AAA9-1D66D5C7F4C7}"/>
    <hyperlink ref="U143" r:id="rId100" xr:uid="{05AB23CB-4905-4B22-9A5E-656A095A34FE}"/>
    <hyperlink ref="U144" r:id="rId101" xr:uid="{719C17AA-6963-4DEC-A343-B2B4BA39326F}"/>
    <hyperlink ref="U145" r:id="rId102" xr:uid="{D5AB90E8-EC81-4231-8653-9CE075713C21}"/>
    <hyperlink ref="U146" r:id="rId103" xr:uid="{0E947330-E180-46E0-85EF-FB53BDA8FB39}"/>
    <hyperlink ref="U147" r:id="rId104" xr:uid="{4089D904-9D9C-469C-A0B6-990C371DB36F}"/>
    <hyperlink ref="U148" r:id="rId105" xr:uid="{C9C1CE4C-224E-40E8-AB1D-8E651B3145BF}"/>
    <hyperlink ref="U149" r:id="rId106" xr:uid="{E3489684-D9BF-4679-98FC-803AD7CBCCFC}"/>
    <hyperlink ref="U150" r:id="rId107" xr:uid="{AC1745F6-2BDC-4ED2-959A-82BB0889FB2F}"/>
    <hyperlink ref="U151" r:id="rId108" xr:uid="{29667C28-7678-4DA3-B69E-FD8D34EDA631}"/>
    <hyperlink ref="U152" r:id="rId109" xr:uid="{E4AE7B00-C7BD-4732-B9B4-0B2B236C0AC2}"/>
    <hyperlink ref="U153" r:id="rId110" xr:uid="{67AB1A3B-A9BF-490D-825F-788AA4F69B75}"/>
    <hyperlink ref="U154" r:id="rId111" xr:uid="{617D94B0-7244-4903-A0CB-8DCEAAAE863C}"/>
    <hyperlink ref="U155" r:id="rId112" xr:uid="{5089CD29-B14D-45CE-99F9-A5B2A2731543}"/>
    <hyperlink ref="U156" r:id="rId113" xr:uid="{64ADFD4B-397E-4AE1-9BC9-7C5CC0EC745C}"/>
    <hyperlink ref="U660" r:id="rId114" xr:uid="{9DECBFF9-C7A8-42BC-A304-BF47250E96A5}"/>
    <hyperlink ref="U661" r:id="rId115" xr:uid="{309D0C3F-B941-43B1-A57D-5DD1C122E976}"/>
    <hyperlink ref="U662" r:id="rId116" xr:uid="{F2A62A91-74D0-402F-BD7A-7BCFD97AE187}"/>
    <hyperlink ref="U663" r:id="rId117" xr:uid="{BA9D5309-7F89-49A7-85B0-D4F103623D27}"/>
    <hyperlink ref="U664" r:id="rId118" xr:uid="{31349D9F-4212-4375-8335-2B256CD76F48}"/>
    <hyperlink ref="U665" r:id="rId119" xr:uid="{D93A070E-37FF-4A38-B828-741156F99A52}"/>
    <hyperlink ref="U657" r:id="rId120" xr:uid="{9679C787-BBEE-47FA-80CF-D10C1B411681}"/>
    <hyperlink ref="U659" r:id="rId121" xr:uid="{CD15952B-0953-4C09-BCA9-3C1133DFDEC2}"/>
    <hyperlink ref="U628" r:id="rId122" xr:uid="{B1984A45-BD1A-49B3-BB46-BD04F7788B5E}"/>
    <hyperlink ref="U629" r:id="rId123" xr:uid="{C5A0C22F-7B4C-4D54-8CE5-A52FE4FE1505}"/>
    <hyperlink ref="U653" r:id="rId124" xr:uid="{094E90B4-4FB3-425E-85ED-7FB99CF0ED65}"/>
    <hyperlink ref="U654" r:id="rId125" xr:uid="{87133F4D-14B6-43BF-9C63-77E471503253}"/>
    <hyperlink ref="U655" r:id="rId126" xr:uid="{BC803701-5CB7-4173-992C-64BCCBADCD2B}"/>
    <hyperlink ref="U656" r:id="rId127" xr:uid="{69D7AE13-1901-41A7-A224-2A8E06E0457B}"/>
    <hyperlink ref="U675" r:id="rId128" xr:uid="{87CFAB3F-34C7-4B21-BA8A-230E2D1E0CC2}"/>
    <hyperlink ref="Q679" r:id="rId129" xr:uid="{FF75966E-B3C8-4CF5-BDBE-70950D3FD44E}"/>
    <hyperlink ref="U681" r:id="rId130" xr:uid="{DAA36B5E-B71F-439C-BA8E-5A360F21E0BD}"/>
    <hyperlink ref="U682" r:id="rId131" xr:uid="{D2E81397-D56E-49D2-82CC-695C5190203A}"/>
    <hyperlink ref="U683" r:id="rId132" xr:uid="{8D53428D-437B-4B4E-B27C-B0D8AB06A709}"/>
    <hyperlink ref="U680" r:id="rId133" xr:uid="{167FA84B-68CE-416C-868A-84E3484AE9DC}"/>
    <hyperlink ref="U684" r:id="rId134" xr:uid="{925616BD-D301-4198-BDA7-6240F1B24875}"/>
    <hyperlink ref="Q706" r:id="rId135" xr:uid="{1BBAD39A-F2E5-4A33-A324-E5B78A4F9C21}"/>
    <hyperlink ref="Q707" r:id="rId136" xr:uid="{E367DFB9-5567-46E2-8BEA-218078AF5821}"/>
    <hyperlink ref="Q708" r:id="rId137" xr:uid="{DAB9D68D-172F-4DBC-92F5-DF4C52C8ED0C}"/>
    <hyperlink ref="Q709" r:id="rId138" xr:uid="{5459D988-9721-49CD-8716-E51B158E9A83}"/>
    <hyperlink ref="Q710" r:id="rId139" xr:uid="{BFA91F4E-465B-462E-A7EF-51CF821D02A1}"/>
    <hyperlink ref="Q711" r:id="rId140" xr:uid="{B73356E9-E90B-4225-B2A6-493E5E89F22D}"/>
    <hyperlink ref="Q712" r:id="rId141" xr:uid="{989344DA-BEC7-49AB-8109-B4CB90348002}"/>
    <hyperlink ref="Q713" r:id="rId142" xr:uid="{E16EFE90-3EE1-413C-8809-97F6B4FA24B2}"/>
    <hyperlink ref="Q718" r:id="rId143" xr:uid="{F9B9F179-7A4A-4062-BA2C-C67EA99E30DB}"/>
    <hyperlink ref="U706" r:id="rId144" xr:uid="{D862A2A1-2CE3-42CC-8960-AD29688F6A74}"/>
    <hyperlink ref="U700" r:id="rId145" xr:uid="{796E7720-6B38-45D6-8A6D-3B7D31922A0D}"/>
    <hyperlink ref="U701" r:id="rId146" xr:uid="{3A8E3757-9323-42B7-A952-BEE1251FE2CA}"/>
    <hyperlink ref="U702" r:id="rId147" xr:uid="{9D55C6B7-AD07-43DA-A1BF-1665ADF532C9}"/>
    <hyperlink ref="U703" r:id="rId148" xr:uid="{8D5D06C9-590F-44DB-85EA-438A145970F8}"/>
    <hyperlink ref="U704" r:id="rId149" xr:uid="{38F786C3-5C7B-4DE6-8468-87F1E1AA7BC9}"/>
    <hyperlink ref="U705" r:id="rId150" xr:uid="{AB47C1F6-2CE3-4837-A11E-374C971E670A}"/>
    <hyperlink ref="U707" r:id="rId151" xr:uid="{8063A34C-0F57-4D62-9F2F-8B68B827DB99}"/>
    <hyperlink ref="U708" r:id="rId152" xr:uid="{95427F0D-21CC-4A3D-9193-71F6435B120D}"/>
    <hyperlink ref="U709" r:id="rId153" xr:uid="{A57CF3B9-F468-4B85-A49B-495691E9C34C}"/>
    <hyperlink ref="U710" r:id="rId154" xr:uid="{82AD8D47-0BA5-4E6E-8B57-1AC0CBA34BFC}"/>
    <hyperlink ref="U711" r:id="rId155" xr:uid="{EFC05489-7A19-4F7A-A4AE-C34CD49544E4}"/>
    <hyperlink ref="U712" r:id="rId156" xr:uid="{CA373A70-2258-41EE-8DFB-4B08B4E7CE63}"/>
    <hyperlink ref="U713" r:id="rId157" xr:uid="{D3ADF1A8-289A-4327-8E4B-B4300446C6FA}"/>
    <hyperlink ref="U718" r:id="rId158" xr:uid="{C2EDBE67-AF45-4EA2-87B6-F568E6CA4D20}"/>
    <hyperlink ref="U722" r:id="rId159" xr:uid="{5D0849D6-1624-4388-BE6E-C9F499605D26}"/>
    <hyperlink ref="U720" r:id="rId160" xr:uid="{1B8D0FDE-86CF-4A3E-9E96-6F8C72F59930}"/>
    <hyperlink ref="U721" r:id="rId161" xr:uid="{C8D919BF-2290-4224-AA8E-EBE9306AC130}"/>
    <hyperlink ref="U719" r:id="rId162" xr:uid="{C50CBEB2-A207-43C9-8C62-18E39EF14867}"/>
    <hyperlink ref="U725" r:id="rId163" xr:uid="{C79DDC56-48BF-4B94-BF64-01A23B94FB33}"/>
    <hyperlink ref="Q656" r:id="rId164" xr:uid="{77A0B08F-F383-4449-920E-A7531A178B99}"/>
    <hyperlink ref="U739" r:id="rId165" xr:uid="{87D87240-A916-4FF6-A0AE-9E635F98B1BC}"/>
    <hyperlink ref="U738" r:id="rId166" xr:uid="{0DE053BD-A095-4CA0-9216-89523074F99C}"/>
    <hyperlink ref="Q325" r:id="rId167" xr:uid="{1094571E-5123-478C-8A13-A3C102D7462B}"/>
    <hyperlink ref="Q344" r:id="rId168" xr:uid="{8DA18A38-A6B6-418A-A3AE-28F9EC037CB2}"/>
    <hyperlink ref="Q641" r:id="rId169" xr:uid="{CD8AFC90-F41B-4163-B773-FBEE4840E076}"/>
    <hyperlink ref="U233" r:id="rId170" display="Air blower panel no.1" xr:uid="{A8B0F0A9-2D13-40E2-8568-43B22D726576}"/>
    <hyperlink ref="U234" r:id="rId171" display="Air blower panel no.2" xr:uid="{2C2F18FE-0729-445E-B50E-980DDEFFC82C}"/>
    <hyperlink ref="U237" r:id="rId172" display="Wash water panel no.1" xr:uid="{ED0CB70A-6F11-4C5B-8BD1-6FD1CE969910}"/>
    <hyperlink ref="U238" r:id="rId173" display="Wash water panel no.2" xr:uid="{F8AD30C1-FA60-44F9-9369-10726AEB7611}"/>
    <hyperlink ref="U239" r:id="rId174" xr:uid="{1AE8ABE6-7CF2-4C76-BC91-52F36FB4F317}"/>
    <hyperlink ref="U240" r:id="rId175" xr:uid="{E1A035EB-3032-4B4E-B803-61B433DFB46D}"/>
    <hyperlink ref="U241" r:id="rId176" xr:uid="{FDAFF88E-3DD2-4C9A-9BC9-6A9D0D78BC9D}"/>
    <hyperlink ref="U242" r:id="rId177" xr:uid="{E7972B60-AF70-4A63-92DD-5D3AFD1F1D5B}"/>
    <hyperlink ref="U235" r:id="rId178" xr:uid="{ECDA41C3-3ABB-461A-914E-C94FF493BBC3}"/>
    <hyperlink ref="U236" r:id="rId179" xr:uid="{53F183B4-0888-45D5-A4EF-B90819C6D0BB}"/>
    <hyperlink ref="U243" r:id="rId180" xr:uid="{A328B0B0-DC2D-4ACF-9FE1-D9FC298FCF47}"/>
    <hyperlink ref="U244" r:id="rId181" xr:uid="{40F289AD-6371-48AD-BFC8-5A6E9EF08FED}"/>
    <hyperlink ref="U246" r:id="rId182" xr:uid="{0EB7EF58-C45A-408E-B987-52E268A4E434}"/>
    <hyperlink ref="U247" r:id="rId183" xr:uid="{B708E2D5-71F9-42F3-A3E4-8D1A5E72C20A}"/>
    <hyperlink ref="U248" r:id="rId184" xr:uid="{7741AEBC-C074-4414-8024-AD4FF1DFB34F}"/>
    <hyperlink ref="U249" r:id="rId185" xr:uid="{5ACC7B98-5204-4455-9412-453698C229EF}"/>
    <hyperlink ref="U250" r:id="rId186" xr:uid="{F59C35B2-F725-406B-AE31-C921E6AD00AA}"/>
    <hyperlink ref="U251" r:id="rId187" xr:uid="{0886BBEE-C0F2-436F-921A-F72A8CA75079}"/>
    <hyperlink ref="U252" r:id="rId188" xr:uid="{879030A8-DB07-4E4F-8662-92306F1469E9}"/>
    <hyperlink ref="U253" r:id="rId189" xr:uid="{ADE0806E-A4F6-4E69-BADD-FE7A594B0A04}"/>
    <hyperlink ref="U642" r:id="rId190" xr:uid="{4FAA072F-5ECD-4411-A0F0-38D91525A336}"/>
    <hyperlink ref="U643" r:id="rId191" xr:uid="{7A741A81-3BEC-4B63-9AE7-339B1DA8BAC7}"/>
    <hyperlink ref="U647" r:id="rId192" xr:uid="{F915E071-0985-472F-8DA1-81F827748AAB}"/>
    <hyperlink ref="U648" r:id="rId193" xr:uid="{77A34FC6-12C3-4A76-8F40-29F567389866}"/>
    <hyperlink ref="U649" r:id="rId194" xr:uid="{FB5B99B6-512E-40A9-9563-95B1550BA923}"/>
    <hyperlink ref="U650" r:id="rId195" xr:uid="{EBFCC97A-B0DD-4076-B483-5C6294E66B31}"/>
    <hyperlink ref="U666" r:id="rId196" xr:uid="{5F33A305-748A-4BCB-AC13-6493799244B5}"/>
    <hyperlink ref="U667" r:id="rId197" xr:uid="{46899538-4761-4E6A-A310-1F798641FDDB}"/>
    <hyperlink ref="U668" r:id="rId198" xr:uid="{0F23B3BC-BF02-4BEA-BEF4-76CA073D2044}"/>
    <hyperlink ref="U407" r:id="rId199" xr:uid="{328DA803-9AE3-4BFC-8C99-5D3098828F54}"/>
    <hyperlink ref="U402" r:id="rId200" xr:uid="{DECD4782-5624-421C-A585-8FFFB0CF6537}"/>
    <hyperlink ref="U412" r:id="rId201" xr:uid="{B9CB6BA2-51A5-4E7B-A6B5-1F1A3D458C1A}"/>
    <hyperlink ref="U625" r:id="rId202" xr:uid="{DDA36530-177C-493F-8F00-4A9036768E9F}"/>
    <hyperlink ref="U624" r:id="rId203" xr:uid="{39AC42A4-DCF8-4A22-9580-BD34CA224198}"/>
    <hyperlink ref="U626" r:id="rId204" xr:uid="{74586580-E26B-4AED-A73A-B351B820DB9B}"/>
    <hyperlink ref="U17" r:id="rId205" xr:uid="{2689CFED-CCFB-431D-96F8-A9F4DB8DECFD}"/>
    <hyperlink ref="U18" r:id="rId206" xr:uid="{BAF9C600-205F-4DC7-A346-BF32B3348453}"/>
    <hyperlink ref="U19" r:id="rId207" xr:uid="{CCAD9293-ED9B-4827-967C-A0FF0409D163}"/>
    <hyperlink ref="U20" r:id="rId208" xr:uid="{EE77BC9E-6B1D-4001-84B6-FBB60B954851}"/>
    <hyperlink ref="U21" r:id="rId209" xr:uid="{2AF8C8F8-6327-4840-9186-1AC59C933A68}"/>
    <hyperlink ref="U22" r:id="rId210" xr:uid="{5056BC64-15B9-4D99-9B22-CB25F9DA7508}"/>
    <hyperlink ref="U3" r:id="rId211" xr:uid="{11385B01-BD3E-4D4C-AFF7-AC5FBA76EFB7}"/>
    <hyperlink ref="U4" r:id="rId212" xr:uid="{068576D1-4579-4C5C-B451-0A918942E69F}"/>
    <hyperlink ref="U7" r:id="rId213" xr:uid="{A2097E5D-4D42-4EA1-801B-8F4C59BDE4D6}"/>
    <hyperlink ref="U8" r:id="rId214" xr:uid="{003A9669-F433-4403-AD33-1C036F25EF08}"/>
    <hyperlink ref="U9" r:id="rId215" xr:uid="{02393442-9A80-4BEE-8514-6814DF00593F}"/>
    <hyperlink ref="U658" r:id="rId216" xr:uid="{CADC97D8-54B6-4999-9762-EA9BAFDED4FC}"/>
    <hyperlink ref="U131" r:id="rId217" xr:uid="{A1E31526-B188-4521-9A2C-60F1F58D7A87}"/>
    <hyperlink ref="U118" r:id="rId218" xr:uid="{B14D4E37-7B7C-4EDF-8D67-93FD00C79322}"/>
    <hyperlink ref="U119" r:id="rId219" xr:uid="{EFEB2D3F-6DB3-4100-8AED-1A5F1B6CE5EB}"/>
    <hyperlink ref="U120" r:id="rId220" xr:uid="{BD1EE89D-3B12-4EFA-AAFE-41B91CF0C635}"/>
    <hyperlink ref="U121" r:id="rId221" xr:uid="{14C59BAE-80E9-4B71-A79F-C4B365B159D3}"/>
    <hyperlink ref="U122" r:id="rId222" xr:uid="{E25DC6C2-3860-4B76-9FB3-266CC27D3A7F}"/>
    <hyperlink ref="U123" r:id="rId223" xr:uid="{F107FAF8-2C18-44DC-ADD9-FEFD12CFFDD9}"/>
    <hyperlink ref="U124" r:id="rId224" xr:uid="{1BEA8BB8-D59A-4593-B38C-7E2093DABC22}"/>
    <hyperlink ref="U125" r:id="rId225" xr:uid="{78477431-53AF-4B8C-860F-8B0F711BE2D8}"/>
    <hyperlink ref="U730" r:id="rId226" xr:uid="{6828C9DB-8C59-43E0-9763-B40EE92A675B}"/>
    <hyperlink ref="U731" r:id="rId227" xr:uid="{F051338E-FC2E-4BE2-ACCD-3C6C24739A62}"/>
    <hyperlink ref="U732" r:id="rId228" xr:uid="{B7D0A2D0-9EC4-42EF-B636-E30AA244BC1A}"/>
    <hyperlink ref="U733" r:id="rId229" xr:uid="{2F61A659-3871-4BC1-AF92-C2C410381573}"/>
    <hyperlink ref="U734" r:id="rId230" xr:uid="{37907996-E4CF-4FA0-9B4E-DD5CE78F9D72}"/>
    <hyperlink ref="U32" r:id="rId231" display="Dismanting joint for pump set" xr:uid="{7DA5292F-D513-403A-B339-E1517EFF2234}"/>
    <hyperlink ref="U33:U39" r:id="rId232" display="Dismanting joint for pump set" xr:uid="{CB358632-601E-403B-A98C-A1579490E2DD}"/>
    <hyperlink ref="U139" r:id="rId233" xr:uid="{15D1CBAD-A902-4481-851A-6BFE4850130C}"/>
    <hyperlink ref="U140" r:id="rId234" xr:uid="{E3C06770-96E7-44B9-964B-26A1FF3EBE71}"/>
    <hyperlink ref="U141" r:id="rId235" xr:uid="{1D4519B2-C774-422A-8992-6D147519AA3A}"/>
    <hyperlink ref="U142" r:id="rId236" xr:uid="{90C758C6-ADAD-4B4C-8228-2698DD1B583C}"/>
    <hyperlink ref="U685" r:id="rId237" xr:uid="{108A94C2-0601-423F-99AC-014EF690F7F0}"/>
    <hyperlink ref="U47" r:id="rId238" xr:uid="{3BB60043-0871-4AAD-91C4-BD8B75834390}"/>
    <hyperlink ref="U48:U54" r:id="rId239" display="NRV for 900 HP " xr:uid="{C0407716-1BCC-4626-B671-1FDB5C77E478}"/>
    <hyperlink ref="U748" r:id="rId240" xr:uid="{35F635D7-11DF-4BF9-9FB8-6B5A78861CD4}"/>
    <hyperlink ref="U24" r:id="rId241" xr:uid="{C5744D57-EFD8-4DC4-BBB5-D5B47B332476}"/>
    <hyperlink ref="U25" r:id="rId242" xr:uid="{5C741D29-D8E9-44FA-B664-CF9DB30E292D}"/>
    <hyperlink ref="U26" r:id="rId243" xr:uid="{81869E39-DC68-4DBE-A736-B2DCAF8448A6}"/>
    <hyperlink ref="U27" r:id="rId244" xr:uid="{C2EC7BE5-DB10-4AF1-B12C-3EB839FA9706}"/>
    <hyperlink ref="U11" r:id="rId245" xr:uid="{A1588523-6D91-42AA-84E2-36D87C6DCE4F}"/>
    <hyperlink ref="U12" r:id="rId246" xr:uid="{760056B4-BE1D-44EB-BF98-947320A4C389}"/>
    <hyperlink ref="U14" r:id="rId247" xr:uid="{6B3218F7-FC08-4561-8C51-76EC6780067E}"/>
    <hyperlink ref="U126" r:id="rId248" xr:uid="{AB040A5E-EB32-4307-BE9B-087D06543F0D}"/>
    <hyperlink ref="U127" r:id="rId249" xr:uid="{7F1A5B2E-BCB2-4792-A20E-5F4C8B4ECBEE}"/>
    <hyperlink ref="U749" r:id="rId250" xr:uid="{5CF2D111-C8AF-4018-8135-1A5BD2A8EABE}"/>
    <hyperlink ref="U245" r:id="rId251" xr:uid="{31B1EB74-FE29-41B7-B16B-5FCFB3EC1B97}"/>
    <hyperlink ref="U651" r:id="rId252" xr:uid="{5207D431-CFF1-4D4C-8A6F-A7A336B8CE80}"/>
    <hyperlink ref="Q752" r:id="rId253" xr:uid="{14B06501-E592-45CC-BD2C-35E27799D55A}"/>
    <hyperlink ref="Q753" r:id="rId254" xr:uid="{9CA90F93-CD89-4298-931F-6E01B07F5A51}"/>
    <hyperlink ref="U276" r:id="rId255" xr:uid="{7005266C-D872-417F-BA26-8DE97DE38674}"/>
    <hyperlink ref="U277" r:id="rId256" xr:uid="{411C891E-B514-4DA2-B126-3758521BA98E}"/>
    <hyperlink ref="U278" r:id="rId257" xr:uid="{EA6E12DD-EA8C-48E3-AEF7-554933F5DD82}"/>
    <hyperlink ref="U280" r:id="rId258" xr:uid="{75E9B3F1-DD0D-4DC2-97CF-629A2039EC23}"/>
    <hyperlink ref="U281" r:id="rId259" xr:uid="{1C209BE0-8E0D-42C0-A34B-0778C02F31BC}"/>
    <hyperlink ref="U282" r:id="rId260" xr:uid="{7409BE7D-BB8C-4FAB-9483-78355613B2F6}"/>
    <hyperlink ref="U288" r:id="rId261" xr:uid="{5DA96731-6D88-400B-85BD-470E7A9CE4FA}"/>
    <hyperlink ref="U289" r:id="rId262" xr:uid="{6A879B36-7913-4DEE-900E-3681501A1539}"/>
    <hyperlink ref="U292" r:id="rId263" xr:uid="{6C284A66-E327-4AF5-8408-4DD697AF3632}"/>
    <hyperlink ref="U755" r:id="rId264" xr:uid="{7D775879-BC49-456B-8FF4-DBEC1193709D}"/>
    <hyperlink ref="U754" r:id="rId265" xr:uid="{F8267857-3F6D-48E5-BE42-4F242C70A26F}"/>
    <hyperlink ref="U305" r:id="rId266" xr:uid="{2F85DDB6-2F95-4526-AAEA-CA30458E1493}"/>
    <hyperlink ref="U302" r:id="rId267" xr:uid="{40E6F343-187D-4E9C-B5F0-2BA65FD57344}"/>
    <hyperlink ref="U303" r:id="rId268" xr:uid="{7D76D7D7-B843-4F04-9A09-BEF04BC350E2}"/>
    <hyperlink ref="U756" r:id="rId269" xr:uid="{8CB3D3A1-7A2D-482B-A45D-C6F7766042DE}"/>
    <hyperlink ref="U306" r:id="rId270" xr:uid="{F360A4A4-8AA5-457F-9BF9-DD22CBE14496}"/>
    <hyperlink ref="U307" r:id="rId271" xr:uid="{C5D29A34-F6A8-414D-B414-9FF04824EF54}"/>
    <hyperlink ref="U308" r:id="rId272" xr:uid="{221E1D38-4CDD-48CE-AC46-20CCD54D00B9}"/>
    <hyperlink ref="U309" r:id="rId273" display="1 seater sofa" xr:uid="{6314DFA7-5195-491C-995D-EE1D3278C55B}"/>
    <hyperlink ref="U310" r:id="rId274" xr:uid="{EEB40D4A-4697-43EA-BD0B-307A1527407A}"/>
    <hyperlink ref="U312" r:id="rId275" xr:uid="{A966E711-2829-4D7C-A48B-38C16AB61E7F}"/>
    <hyperlink ref="U750" r:id="rId276" xr:uid="{6181DC0D-5570-4FF1-90F8-A411602B4524}"/>
    <hyperlink ref="U757" r:id="rId277" xr:uid="{7BB37C63-A14E-4DC6-8A19-8994239DB278}"/>
    <hyperlink ref="U758" r:id="rId278" xr:uid="{F8D7D33B-EB60-4F54-944A-E26419F48E18}"/>
    <hyperlink ref="U295" r:id="rId279" xr:uid="{86942A38-020A-47C0-A7F5-1221219FF993}"/>
    <hyperlink ref="U314" r:id="rId280" xr:uid="{6AC74DC8-FAD4-40DA-B8BE-F3867649CABF}"/>
    <hyperlink ref="U631" r:id="rId281" xr:uid="{79D70C27-A40F-44B2-84EF-53B73ED642D8}"/>
    <hyperlink ref="U759" r:id="rId282" xr:uid="{36AC3211-F535-454F-B420-8074B9C6EC53}"/>
    <hyperlink ref="U760" r:id="rId283" xr:uid="{2AB49F28-2920-4E62-94C4-A946A458BBBF}"/>
    <hyperlink ref="U762" r:id="rId284" xr:uid="{90D574AD-C193-4843-B781-E86D38B3A614}"/>
    <hyperlink ref="U763" r:id="rId285" xr:uid="{5B21DAE8-27ED-4F97-887B-E74EA23B3432}"/>
    <hyperlink ref="U415" r:id="rId286" xr:uid="{F7EA23EA-6A13-4371-BB4E-9F211A1E5357}"/>
    <hyperlink ref="U416" r:id="rId287" xr:uid="{E2ACDFDF-E7FD-4730-9EE9-058668ECB40D}"/>
    <hyperlink ref="U417" r:id="rId288" xr:uid="{A7EF7DF9-66EA-4548-8EBE-68A89F46710F}"/>
    <hyperlink ref="U418" r:id="rId289" xr:uid="{4892680F-4869-433D-B044-18CB7C88912D}"/>
    <hyperlink ref="U419" r:id="rId290" xr:uid="{6ED9C986-821F-4729-8ECA-8D58B2A81F47}"/>
    <hyperlink ref="U430" r:id="rId291" xr:uid="{9DBDD07E-18D6-4B52-91D3-E29A2899476B}"/>
    <hyperlink ref="Q277" r:id="rId292" xr:uid="{673FE943-EEA2-44B9-9D5B-A4B9941765FD}"/>
    <hyperlink ref="Q278" r:id="rId293" xr:uid="{822494F1-4909-44A4-B906-5C41B472A297}"/>
    <hyperlink ref="Q289" r:id="rId294" xr:uid="{20CB94C6-1FF3-41CA-A674-AD6DEDEF4713}"/>
    <hyperlink ref="Q302" r:id="rId295" xr:uid="{A9BB85EE-3B0C-4572-AA47-F277A09BCDCF}"/>
    <hyperlink ref="Q306" r:id="rId296" xr:uid="{6C13B6B2-5458-47EE-9CF1-3CC2B09B6D4B}"/>
    <hyperlink ref="Q763" r:id="rId297" xr:uid="{144C5709-6B1B-458C-9AFE-7B4FDFF06AF5}"/>
    <hyperlink ref="Q632" r:id="rId298" xr:uid="{28F87554-4FF6-4DDE-8358-DBF05DAB1FF7}"/>
    <hyperlink ref="Q633" r:id="rId299" xr:uid="{63A7F3B6-A925-4EB1-8DEC-7EB2CCC5E7FE}"/>
    <hyperlink ref="Q634" r:id="rId300" xr:uid="{346AD5F6-9F47-4FE1-BEA1-EF49A984511A}"/>
    <hyperlink ref="Q750" r:id="rId301" xr:uid="{1C74210F-7323-464E-B684-925987B0613B}"/>
    <hyperlink ref="Q782" r:id="rId302" xr:uid="{B9CE0EDF-CC9B-4F4E-BC13-6AEF223410C2}"/>
    <hyperlink ref="Q412" r:id="rId303" xr:uid="{6A445B3B-FD88-499E-AE0F-BAD69888D929}"/>
    <hyperlink ref="Q402" r:id="rId304" xr:uid="{65C6E496-9BB0-45BE-B526-6067EC2C7686}"/>
    <hyperlink ref="U411" r:id="rId305" xr:uid="{07D823F2-0AB2-4802-A71D-5C5F4844B01F}"/>
    <hyperlink ref="Q411" r:id="rId306" xr:uid="{778BB00A-F71A-4B75-AB76-907E2AC0D060}"/>
    <hyperlink ref="U410" r:id="rId307" xr:uid="{87219145-C460-424E-9DEF-9EBC47A1B073}"/>
    <hyperlink ref="Q410" r:id="rId308" xr:uid="{0D6E1187-084C-46EC-88E6-09EEEA41E995}"/>
    <hyperlink ref="Q783" r:id="rId309" xr:uid="{058707B0-BD7B-409E-AD20-F35E5F17BAD9}"/>
    <hyperlink ref="Q403" r:id="rId310" xr:uid="{4851D900-72EC-4A52-BE50-98D2F45B095D}"/>
    <hyperlink ref="Q408" r:id="rId311" xr:uid="{7F81585D-E79A-43A9-AB67-72AA730B08A2}"/>
    <hyperlink ref="Q7" r:id="rId312" xr:uid="{F9790103-7555-4653-9E80-74D643C5C452}"/>
    <hyperlink ref="Q8" r:id="rId313" xr:uid="{1E9317EB-EE92-4E82-8625-3D1FA386A191}"/>
    <hyperlink ref="Q20" r:id="rId314" xr:uid="{9594F8CB-CFD8-438C-B70F-8A859176733C}"/>
    <hyperlink ref="Q21" r:id="rId315" xr:uid="{B6E4ACD5-6B97-47CC-B972-E8EE104EDE80}"/>
    <hyperlink ref="Q36" r:id="rId316" xr:uid="{E4082E66-D48C-432E-95A8-5F75F83A2E79}"/>
    <hyperlink ref="Q157" r:id="rId317" xr:uid="{50AAAFE4-3833-4289-89A6-86637F255FAC}"/>
    <hyperlink ref="Q158" r:id="rId318" xr:uid="{C4F3C1E9-A653-4C72-AB0C-830184708559}"/>
    <hyperlink ref="Q159" r:id="rId319" xr:uid="{D8AF54E6-CB32-4C66-9FC2-B3AD53C5AE13}"/>
    <hyperlink ref="Q160" r:id="rId320" xr:uid="{E7623082-6782-4694-BF7D-67296E8D2F93}"/>
    <hyperlink ref="Q161" r:id="rId321" xr:uid="{F85C20E5-29F4-4A52-8A21-CE1A46E3A215}"/>
    <hyperlink ref="Q162" r:id="rId322" xr:uid="{F2EB4FC4-CA01-4287-B4CC-214D83867C61}"/>
    <hyperlink ref="Q163" r:id="rId323" xr:uid="{A67D4F6E-EBA5-4319-AE22-15EA243A56BF}"/>
    <hyperlink ref="Q164" r:id="rId324" xr:uid="{A9CB7105-392F-4DD2-96C1-9A5BB18D57B5}"/>
    <hyperlink ref="Q165" r:id="rId325" xr:uid="{5BB6CA64-53BB-4112-99AC-9C5D0E235427}"/>
    <hyperlink ref="Q166" r:id="rId326" xr:uid="{458A8E0F-B0DA-471B-95D9-810450E140F1}"/>
    <hyperlink ref="Q167" r:id="rId327" xr:uid="{15BA95DE-2050-4C8B-8CB4-66733BEA6235}"/>
    <hyperlink ref="Q168" r:id="rId328" xr:uid="{15320A33-3332-4AC9-8716-05E878B3D280}"/>
    <hyperlink ref="Q169" r:id="rId329" xr:uid="{5F0AAD2C-E5D8-43C9-A461-2C126B549F38}"/>
    <hyperlink ref="Q170" r:id="rId330" xr:uid="{C56198A6-34CD-4670-9550-19AAAA0F8EFC}"/>
    <hyperlink ref="Q171" r:id="rId331" xr:uid="{39F88EA8-0A96-4FF2-9DC5-22986779BA01}"/>
    <hyperlink ref="Q172" r:id="rId332" xr:uid="{A7C04E00-AAC7-4945-A60A-BB7FB756B069}"/>
    <hyperlink ref="Q173" r:id="rId333" xr:uid="{9DC86B66-A2AC-4055-868C-F285E415FAC7}"/>
    <hyperlink ref="Q174" r:id="rId334" xr:uid="{892E6618-FEA4-4C8B-A665-CC97D712EADD}"/>
    <hyperlink ref="Q175" r:id="rId335" xr:uid="{95498767-11BE-47B1-B273-6C95FC50A4EC}"/>
    <hyperlink ref="Q176" r:id="rId336" xr:uid="{C764467E-189B-448F-A413-2E79AA27F4BD}"/>
    <hyperlink ref="Q177" r:id="rId337" xr:uid="{2A8CF4E5-4F09-4B8F-9594-03403C087F6D}"/>
    <hyperlink ref="Q178" r:id="rId338" xr:uid="{D540CA7E-9A73-4174-BD4B-B8E0AE832A4F}"/>
    <hyperlink ref="Q179" r:id="rId339" xr:uid="{FCC26E26-5DE0-4160-A66B-667B433924FE}"/>
    <hyperlink ref="Q120" r:id="rId340" xr:uid="{1D107078-C186-479B-8903-00B53223FB10}"/>
    <hyperlink ref="Q66" r:id="rId341" xr:uid="{07A7F58D-C212-4136-B2EC-61EE5909F669}"/>
    <hyperlink ref="Q67" r:id="rId342" xr:uid="{E971CC25-CA11-4D5F-84A9-4AA601AE037E}"/>
    <hyperlink ref="Q80" r:id="rId343" xr:uid="{8CCF557F-8A38-41BE-91F5-D4B453C5C465}"/>
    <hyperlink ref="Q81" r:id="rId344" xr:uid="{6D641D31-1273-4194-B95B-6C38DF2BE1E0}"/>
    <hyperlink ref="Q51" r:id="rId345" xr:uid="{65C494E5-2166-40D5-8E7D-A58DAC77A657}"/>
    <hyperlink ref="Q52" r:id="rId346" xr:uid="{47BAC010-AEFB-46C4-8F70-735D97BD631C}"/>
    <hyperlink ref="Q307" r:id="rId347" xr:uid="{D6E48EE4-9D40-4AFA-9184-D72DF463F08F}"/>
    <hyperlink ref="Q755" r:id="rId348" xr:uid="{B74D48E9-148F-49B5-A6D6-FB63D64FFD06}"/>
    <hyperlink ref="Q759" r:id="rId349" xr:uid="{EB878407-A554-435E-8682-44A536229AF9}"/>
    <hyperlink ref="Q357" r:id="rId350" xr:uid="{3A99F308-9AE3-442F-A3A2-4DAF1EAB114C}"/>
    <hyperlink ref="Q781" r:id="rId351" xr:uid="{A6169C05-C6E1-4A88-81DC-680181695F10}"/>
    <hyperlink ref="Q255" r:id="rId352" xr:uid="{5D2BC0DD-3F0F-4113-9951-D327E84C16E0}"/>
    <hyperlink ref="Q256" r:id="rId353" xr:uid="{051D9EC8-9860-496C-AF66-07D5BBF68542}"/>
    <hyperlink ref="Q730:Q734" r:id="rId354" display="suvaselectricals@gmail.com" xr:uid="{F45B32BB-7C18-42E1-B1B0-2424BD58D55C}"/>
    <hyperlink ref="Q18" r:id="rId355" xr:uid="{F74AF45E-7614-40DB-8700-0B903EAA0F6B}"/>
    <hyperlink ref="U5" r:id="rId356" xr:uid="{7A04CB41-4954-4D83-B552-D2722B3DFCC7}"/>
    <hyperlink ref="Q5" r:id="rId357" xr:uid="{D54464E6-4DDB-4665-9533-D4BEA3A4CF99}"/>
    <hyperlink ref="Q111" r:id="rId358" xr:uid="{979EBB21-4B81-40EB-9975-F9745AEE0430}"/>
    <hyperlink ref="Q34" r:id="rId359" xr:uid="{9E8B5DCE-3973-4AC8-9C2E-E27FABB8565E}"/>
    <hyperlink ref="Q64" r:id="rId360" xr:uid="{2BCA2211-DC45-4DB6-BAE0-C40E41850C01}"/>
    <hyperlink ref="Q49" r:id="rId361" xr:uid="{94E27297-E5E5-4613-9E81-E0655D350460}"/>
    <hyperlink ref="Q78" r:id="rId362" xr:uid="{DD4733F0-F1B7-46BE-8B2C-799DACF74438}"/>
    <hyperlink ref="Q117" r:id="rId363" xr:uid="{9CDEDB12-04BD-424E-B145-CA1014455D09}"/>
    <hyperlink ref="Q6" r:id="rId364" xr:uid="{303C8E67-5902-40E5-9C63-6730A6CF0346}"/>
    <hyperlink ref="Q19" r:id="rId365" xr:uid="{AF9F30E8-4270-4B44-B8C1-5DD360AD34F9}"/>
    <hyperlink ref="Q35" r:id="rId366" xr:uid="{CF3AD8F5-0DBF-4628-9A7E-A568152A4C2E}"/>
    <hyperlink ref="Q37" r:id="rId367" xr:uid="{5300EE73-8862-482A-B893-E1FBDE59976B}"/>
    <hyperlink ref="Q50" r:id="rId368" xr:uid="{B4128BA6-B2E9-48BE-BC9B-B8117EFC5444}"/>
    <hyperlink ref="Q65" r:id="rId369" xr:uid="{738BDE74-EBEE-45E9-AF21-B058C4BBF5EE}"/>
    <hyperlink ref="Q79" r:id="rId370" xr:uid="{521F45FC-5775-4F33-A96F-8ED9388928B1}"/>
    <hyperlink ref="Q112" r:id="rId371" xr:uid="{14AE6D70-AA03-4B5A-8D6E-2E915331DB09}"/>
    <hyperlink ref="Q121" r:id="rId372" xr:uid="{D3AC100C-E5A3-4859-BFEF-AA76278F33DC}"/>
    <hyperlink ref="Q714" r:id="rId373" xr:uid="{28DE6894-E7FF-44FC-A385-B9CB6C0B52C5}"/>
    <hyperlink ref="U714" r:id="rId374" xr:uid="{77CC25B8-712B-449C-80B8-0DEDCCC5C3FB}"/>
    <hyperlink ref="Q717" r:id="rId375" xr:uid="{2CFDB96E-32AA-4DB9-8560-D6087D1F2353}"/>
    <hyperlink ref="Q716" r:id="rId376" xr:uid="{9D659A7B-7502-48BF-BCD5-57A3EE36F818}"/>
    <hyperlink ref="U716" r:id="rId377" xr:uid="{83E331DE-F0FD-4C06-98E7-55E7B3F33371}"/>
    <hyperlink ref="Q784" r:id="rId378" xr:uid="{14593110-3F54-4AC2-BED2-F58643DE946C}"/>
    <hyperlink ref="U784" r:id="rId379" xr:uid="{AC65DD0F-7EC8-4AEE-87EA-D7A537DC0C35}"/>
    <hyperlink ref="Q785" r:id="rId380" xr:uid="{CAC2ECC8-169F-45E2-A251-28B7173BC4D9}"/>
    <hyperlink ref="U785" r:id="rId381" xr:uid="{874AF973-0DB3-4E36-B460-13CF584865B8}"/>
    <hyperlink ref="Q786" r:id="rId382" xr:uid="{6A6AC605-2C3B-4808-B0D2-5E19FD3AAAD8}"/>
    <hyperlink ref="U786" r:id="rId383" xr:uid="{B1B64280-7F9C-4F17-984E-4A17017B1E92}"/>
    <hyperlink ref="Q787" r:id="rId384" xr:uid="{B232E2A0-6EAC-4308-A161-93AD27C2095C}"/>
    <hyperlink ref="U787" r:id="rId385" xr:uid="{251906DF-9925-496F-9FC2-1066296C3069}"/>
    <hyperlink ref="Q788" r:id="rId386" xr:uid="{E5C1BCD3-3F79-4E78-A56A-08FEFAD9CBC9}"/>
    <hyperlink ref="U788" r:id="rId387" xr:uid="{897B556C-6009-4305-898C-9042353CF2DF}"/>
    <hyperlink ref="Q789" r:id="rId388" xr:uid="{03894538-B09F-4798-A73D-F6DCAD3E76A5}"/>
    <hyperlink ref="U789" r:id="rId389" xr:uid="{6694CE7E-083B-4282-A7C8-37FB45E0AE4A}"/>
    <hyperlink ref="Q790" r:id="rId390" xr:uid="{EE847CD6-9502-4AC4-8584-3670CF3A5379}"/>
    <hyperlink ref="U790" r:id="rId391" xr:uid="{B24969E1-7948-456E-A0D0-7552394DF328}"/>
    <hyperlink ref="Q792" r:id="rId392" xr:uid="{E59F02D8-FB7C-49DC-8E72-6CFE148E5A74}"/>
    <hyperlink ref="U792" r:id="rId393" xr:uid="{5FE08159-9F97-4332-95E5-EA5DCF25F4F7}"/>
    <hyperlink ref="Q793" r:id="rId394" xr:uid="{ED8E2AB6-F11C-4314-8B00-86416BF436D4}"/>
    <hyperlink ref="U793" r:id="rId395" xr:uid="{C373D385-9D46-4737-85D4-EE1A8A1C662E}"/>
    <hyperlink ref="Q794" r:id="rId396" xr:uid="{341375A1-A2F2-421C-AFBC-8F32D3F522B8}"/>
    <hyperlink ref="U794" r:id="rId397" xr:uid="{FBF2A0D1-E7B1-4F22-B183-E2C082521B7C}"/>
    <hyperlink ref="Q795" r:id="rId398" xr:uid="{AD01D076-90D9-41E3-BFA0-4305304D4BF7}"/>
    <hyperlink ref="U795" r:id="rId399" xr:uid="{5543510F-9CF7-4914-AE01-4AC5FCBB7341}"/>
    <hyperlink ref="Q796" r:id="rId400" xr:uid="{CC36E90F-7B41-43C6-B279-E73DD7A58E76}"/>
    <hyperlink ref="U796" r:id="rId401" xr:uid="{A47B242C-9A7B-4A4E-9B04-597373301ABC}"/>
    <hyperlink ref="Q797" r:id="rId402" xr:uid="{779FEDFC-8D85-490B-9954-5EA05606BC96}"/>
    <hyperlink ref="U797" r:id="rId403" xr:uid="{EE9B6BD7-0BF9-45FC-9040-4E7457CC7426}"/>
    <hyperlink ref="Q798" r:id="rId404" xr:uid="{013BF54A-116A-49A1-8381-1E65B39995DB}"/>
    <hyperlink ref="U798" r:id="rId405" xr:uid="{1E6CBEAF-19ED-465E-ACEF-537D8DC38303}"/>
    <hyperlink ref="Q799" r:id="rId406" xr:uid="{B6798481-67D1-423A-AB9A-E89C388B7355}"/>
    <hyperlink ref="U799" r:id="rId407" xr:uid="{DA9AF050-103F-4B45-8745-0A71EC74B25B}"/>
    <hyperlink ref="Q800" r:id="rId408" xr:uid="{0CA1A4AF-41DB-47F5-93E4-FAD45437C432}"/>
    <hyperlink ref="U800" r:id="rId409" xr:uid="{F8E4BEFE-865A-42CE-8693-B8F4EA73E1FF}"/>
    <hyperlink ref="Q801" r:id="rId410" xr:uid="{08B27961-F9E1-4E75-A3FA-437F65B919BE}"/>
    <hyperlink ref="Q802" r:id="rId411" xr:uid="{AB41659A-0FF0-4ED2-AB5D-0682892A4900}"/>
    <hyperlink ref="U802" r:id="rId412" xr:uid="{7FB58889-4362-4627-9C09-461DA58F8F96}"/>
    <hyperlink ref="Q804" r:id="rId413" xr:uid="{B46CEB7A-3B9E-478B-BD8E-B88C8C0FB176}"/>
    <hyperlink ref="U804" r:id="rId414" xr:uid="{BF4F1109-13A3-41CF-A37B-7AD87394A9F5}"/>
    <hyperlink ref="Q791" r:id="rId415" xr:uid="{E992DD3C-6C40-43E0-A438-994DF1AF438C}"/>
    <hyperlink ref="U791" r:id="rId416" xr:uid="{3D161530-D986-489E-BD14-27FD113D4184}"/>
    <hyperlink ref="Q803" r:id="rId417" xr:uid="{49430BDB-ADAE-4A90-B2FB-2EE11A9FB002}"/>
    <hyperlink ref="U803" r:id="rId418" xr:uid="{1D49D4D2-8B4A-4765-8B49-6CA14C7F036A}"/>
    <hyperlink ref="Q814" r:id="rId419" xr:uid="{9B8DA514-2556-4D1E-8BED-D5863119402A}"/>
    <hyperlink ref="Q813" r:id="rId420" xr:uid="{3A19C98A-04BD-43FC-892C-36983F8EEEF3}"/>
    <hyperlink ref="Q812" r:id="rId421" xr:uid="{5219B174-213A-4F3B-8705-E86DECA3BBCC}"/>
    <hyperlink ref="Q811" r:id="rId422" xr:uid="{196A0D24-F774-4F4A-BF45-7E09119302BA}"/>
    <hyperlink ref="Q810" r:id="rId423" xr:uid="{A47856EF-9499-4F44-B2AC-3FCB7D01D554}"/>
    <hyperlink ref="Q809" r:id="rId424" xr:uid="{596B5D97-BE04-4D38-A011-F5CDDA178138}"/>
    <hyperlink ref="Q808" r:id="rId425" xr:uid="{F0EFE1BC-D00E-4EC0-8926-E9FD1298FBB4}"/>
    <hyperlink ref="Q807" r:id="rId426" xr:uid="{14A6FB65-95FB-4236-9050-203B8EAEFFDA}"/>
    <hyperlink ref="Q806" r:id="rId427" xr:uid="{523CB673-7F3C-4936-8599-4D216056DCE2}"/>
    <hyperlink ref="Q805" r:id="rId428" xr:uid="{C734931A-0F26-4883-B868-7CB2EA13DBCB}"/>
    <hyperlink ref="U805" r:id="rId429" xr:uid="{A5DA0D00-B628-4B6D-B843-03CB5DAA3139}"/>
    <hyperlink ref="U806:U814" r:id="rId430" display="Barricade" xr:uid="{D5C56067-EB95-465D-9953-FB26FAFA5AD9}"/>
    <hyperlink ref="Q299" r:id="rId431" xr:uid="{4C421F92-14A3-437E-B3BD-CEC558DB95F3}"/>
    <hyperlink ref="Q300" r:id="rId432" xr:uid="{C72E4530-C0ED-476A-9A2C-E09A084826AF}"/>
    <hyperlink ref="Q301" r:id="rId433" xr:uid="{4854DF37-9375-4169-874E-C2430E7A4E86}"/>
    <hyperlink ref="Q735" r:id="rId434" xr:uid="{DD3FBBBF-46F7-458B-B73A-08222313D54B}"/>
    <hyperlink ref="Q399" r:id="rId435" xr:uid="{F91AADE6-6263-4FAC-B222-3E8DD0E64AD2}"/>
    <hyperlink ref="Q369" r:id="rId436" xr:uid="{D6520B4E-6918-40B9-A4EA-17199FE71019}"/>
    <hyperlink ref="Q397" r:id="rId437" xr:uid="{69C06B62-4A36-4060-82E3-B923C7B25D5B}"/>
    <hyperlink ref="U761" r:id="rId438" xr:uid="{89A68C2F-582F-4B3C-899D-04DF55D6FA8D}"/>
    <hyperlink ref="Q761" r:id="rId439" xr:uid="{C256464C-6DE9-45C3-8E58-30089F255BDF}"/>
    <hyperlink ref="Q687" r:id="rId440" xr:uid="{B2A899E2-2D8A-46D6-914A-24EA3ED5B57A}"/>
    <hyperlink ref="Q698" r:id="rId441" xr:uid="{29EEEF42-47BF-447B-9E29-BA8322CBF0D9}"/>
    <hyperlink ref="Q699" r:id="rId442" xr:uid="{31D3758B-DD71-40B9-87B4-F3F3DBEF8305}"/>
    <hyperlink ref="U291" r:id="rId443" xr:uid="{180D8F61-C569-4115-8B36-CF53084DED8D}"/>
    <hyperlink ref="U272" r:id="rId444" xr:uid="{A7896EC7-7840-4B6A-90B1-9205AA52C971}"/>
    <hyperlink ref="U271" r:id="rId445" xr:uid="{63617846-171C-407A-8B15-F53F7E3E6899}"/>
    <hyperlink ref="U273" r:id="rId446" display="3 Seater Sofa" xr:uid="{7B4FFFAE-FF21-4B8C-B8C8-56D705185520}"/>
    <hyperlink ref="U274" r:id="rId447" display="3 Seater Sofa" xr:uid="{66F7799B-5F17-4868-8BBB-865FFA75EE15}"/>
    <hyperlink ref="U275" r:id="rId448" display="3 Seater Sofa" xr:uid="{364B44E8-B085-48B2-B5B5-637017B785EB}"/>
    <hyperlink ref="Q271" r:id="rId449" xr:uid="{BA5054FA-2013-420B-A277-5C89B3EBCB16}"/>
    <hyperlink ref="Q272" r:id="rId450" xr:uid="{040D9514-1AAA-4D5F-AF83-DFC6648DFD41}"/>
    <hyperlink ref="Q273" r:id="rId451" xr:uid="{9DAA2908-4D1B-49B8-B63C-84F24F4EE41F}"/>
    <hyperlink ref="Q274" r:id="rId452" xr:uid="{68306420-E700-4189-8CC8-C5C7A2B28593}"/>
    <hyperlink ref="Q275" r:id="rId453" xr:uid="{7FC32898-E92F-4A0C-AFD7-1F8AB8B16E54}"/>
    <hyperlink ref="U290" r:id="rId454" xr:uid="{ED4698FA-8188-40F2-B522-D65A0054D49D}"/>
    <hyperlink ref="Q390" r:id="rId455" xr:uid="{4CA30C4D-7DA0-4658-94AB-E6CE49D3AD79}"/>
    <hyperlink ref="U717" r:id="rId456" xr:uid="{0CFDD693-7816-478F-873B-FEA4CE4E4BBA}"/>
    <hyperlink ref="U679" r:id="rId457" xr:uid="{60874844-9AFE-4284-A7A5-241595490D01}"/>
    <hyperlink ref="Q629" r:id="rId458" xr:uid="{F4769907-3234-4FF5-A072-CB3DB075C4D9}"/>
    <hyperlink ref="Q815" r:id="rId459" xr:uid="{D0D27589-2F25-4B6E-9A3C-DC0C2D6EC0B8}"/>
    <hyperlink ref="Q409" r:id="rId460" xr:uid="{063620A1-CB63-415A-B616-145FDEA5FF16}"/>
    <hyperlink ref="Q404" r:id="rId461" xr:uid="{A01C3D78-C04A-4670-838F-D2ACC5EA5B76}"/>
    <hyperlink ref="U385" r:id="rId462" xr:uid="{EAA007CC-FDE9-4C88-9159-CF2021159A9E}"/>
    <hyperlink ref="Q816" r:id="rId463" xr:uid="{413BE103-D6BB-498B-89E8-263BD36C8D4A}"/>
    <hyperlink ref="Q817" r:id="rId464" xr:uid="{C89D7AC9-C260-40EC-BC10-00E32DD9BF01}"/>
    <hyperlink ref="Q818" r:id="rId465" xr:uid="{874CAA1B-F3C9-4E9C-A049-4320A1AA24DC}"/>
    <hyperlink ref="Q819" r:id="rId466" xr:uid="{BDA161D1-BD8E-4071-849C-1F574888C03C}"/>
    <hyperlink ref="Q820" r:id="rId467" xr:uid="{3E603B5D-8654-4B71-B75B-5D36359C576A}"/>
    <hyperlink ref="Q821" r:id="rId468" xr:uid="{7106D56F-3FE5-48E1-9168-69A2BF4AFC0E}"/>
    <hyperlink ref="Q822" r:id="rId469" xr:uid="{BD848106-22FF-485D-9B6F-A1C97A2C39A4}"/>
    <hyperlink ref="Q823" r:id="rId470" xr:uid="{CD421F5A-0343-4BE5-8787-697971CD269B}"/>
    <hyperlink ref="Q824" r:id="rId471" xr:uid="{9B7A94AE-904C-4DC9-81B6-148FBBBB0A19}"/>
    <hyperlink ref="Q825" r:id="rId472" xr:uid="{25472410-C521-44DB-98A5-4F2E39A504A0}"/>
    <hyperlink ref="Q826" r:id="rId473" xr:uid="{090D0755-0D32-4975-82E1-553811ED8CBF}"/>
    <hyperlink ref="Q827" r:id="rId474" xr:uid="{A739A452-AF82-47F6-8C38-036F0476A53F}"/>
    <hyperlink ref="Q828" r:id="rId475" xr:uid="{8946EEA9-42B9-4D4C-91E6-0C009FB15B09}"/>
    <hyperlink ref="Q829" r:id="rId476" xr:uid="{F6DEF35C-4941-414F-A6D9-32A4A225590D}"/>
    <hyperlink ref="Q830" r:id="rId477" xr:uid="{26775A01-5C69-4920-8EE7-C80039B1652A}"/>
    <hyperlink ref="Q831" r:id="rId478" xr:uid="{1E2EC911-B88B-42DD-BE1B-E61ABED6BDD7}"/>
    <hyperlink ref="Q832" r:id="rId479" xr:uid="{B493E325-5F37-4A92-BF9B-3C59C18BE212}"/>
    <hyperlink ref="Q833" r:id="rId480" xr:uid="{9F523DCE-82CD-465A-93D8-708DA751CFA9}"/>
    <hyperlink ref="Q834" r:id="rId481" xr:uid="{D5C055CB-DD5E-43E4-9AA9-6635F576D018}"/>
    <hyperlink ref="Q835" r:id="rId482" xr:uid="{4419CD99-AA7E-48F0-BE85-EE993007E59D}"/>
    <hyperlink ref="Q836" r:id="rId483" xr:uid="{534DBDAA-5C1B-47F3-89C3-FBF22A38974A}"/>
    <hyperlink ref="Q837" r:id="rId484" xr:uid="{1D9DF4E4-4A5B-405B-9AFC-C56251F05A52}"/>
    <hyperlink ref="Q838" r:id="rId485" xr:uid="{EBA7F0DB-A036-426C-84A5-834F303F1518}"/>
    <hyperlink ref="Q839" r:id="rId486" xr:uid="{15275241-0016-479F-87A2-BB98E683CC2F}"/>
    <hyperlink ref="Q840" r:id="rId487" xr:uid="{A98943E1-B54C-44C5-91A6-6CF2457D06EE}"/>
    <hyperlink ref="Q841" r:id="rId488" xr:uid="{AFB87455-79E1-483D-B227-6FFC3BD6A751}"/>
    <hyperlink ref="Q842" r:id="rId489" xr:uid="{BB27461D-9A20-4638-B003-D8500508855D}"/>
    <hyperlink ref="Q861" r:id="rId490" xr:uid="{8EA9A2F2-7DA8-414B-818C-CC4606D00097}"/>
    <hyperlink ref="Q860" r:id="rId491" xr:uid="{A295C1D9-5A2F-4E43-8348-217A62D23C86}"/>
    <hyperlink ref="Q859" r:id="rId492" xr:uid="{EB79E20A-60BE-4635-98C2-B590B1B3029C}"/>
    <hyperlink ref="Q858" r:id="rId493" xr:uid="{C94FBFF4-EE88-4B99-BE9A-599D697F7F9A}"/>
    <hyperlink ref="Q857" r:id="rId494" xr:uid="{64922A07-05C4-4E48-8234-5424265D0F07}"/>
    <hyperlink ref="Q856" r:id="rId495" xr:uid="{A608FEAF-C54E-43FC-8FB1-4E180189EC37}"/>
    <hyperlink ref="Q855" r:id="rId496" xr:uid="{B0A33B2D-B2D0-4CA8-9582-5A3AABFB2E57}"/>
    <hyperlink ref="Q854" r:id="rId497" xr:uid="{76E83EEB-82CE-4438-AB16-90BD8F8F188C}"/>
    <hyperlink ref="Q853" r:id="rId498" xr:uid="{F9113FFA-BC51-486D-9CAB-323DAD1536CD}"/>
    <hyperlink ref="Q852" r:id="rId499" xr:uid="{7D627133-CF27-4A5E-80E0-90C0CAE85325}"/>
    <hyperlink ref="Q851" r:id="rId500" xr:uid="{BEF822CE-3803-4F05-8244-4BEC27A51798}"/>
    <hyperlink ref="Q850" r:id="rId501" xr:uid="{7A1303B3-FB0F-4099-9DAE-55B70FCC5A54}"/>
    <hyperlink ref="Q849" r:id="rId502" xr:uid="{DF61090C-34DD-4440-9398-80A12060A223}"/>
    <hyperlink ref="Q848" r:id="rId503" xr:uid="{BF3B1042-50B7-4C96-A363-8B6CF58931F1}"/>
    <hyperlink ref="Q847" r:id="rId504" xr:uid="{0BECDAF9-DD75-4132-B7BB-49BAAF92089F}"/>
    <hyperlink ref="Q846" r:id="rId505" xr:uid="{2F4351B7-37F2-42AB-99AD-2B85DF74D4C1}"/>
    <hyperlink ref="Q845" r:id="rId506" xr:uid="{D351E6DA-7214-46A5-A6BA-368EBE4B5A89}"/>
    <hyperlink ref="Q844" r:id="rId507" xr:uid="{C138ECD3-265E-4DBF-9026-63CC8E73573E}"/>
    <hyperlink ref="Q843" r:id="rId508" xr:uid="{56FCC70F-AEC2-4DDE-8184-A7EECE1371FE}"/>
    <hyperlink ref="Q862" r:id="rId509" xr:uid="{EBFFC414-21A1-4740-BB2C-F34FB2BEEFDC}"/>
    <hyperlink ref="Q870" r:id="rId510" xr:uid="{144F41BE-10CB-4722-A140-575BA4F7E4EF}"/>
    <hyperlink ref="Q869" r:id="rId511" xr:uid="{4D9A2964-C2FD-4E37-B264-5A1456C30B5F}"/>
    <hyperlink ref="Q868" r:id="rId512" xr:uid="{8E6E53C1-0FA6-472C-AE84-9843E4BA6BDF}"/>
    <hyperlink ref="Q867" r:id="rId513" xr:uid="{C9AEF583-EEEA-4ABB-B3BC-4477295B422A}"/>
    <hyperlink ref="Q866" r:id="rId514" xr:uid="{12EBFABC-BE36-455C-BBFA-B0716B68920A}"/>
    <hyperlink ref="Q865" r:id="rId515" xr:uid="{BFB26686-E64A-4D86-B37D-46C2690B2661}"/>
    <hyperlink ref="Q864" r:id="rId516" xr:uid="{088CED40-F957-49D3-A5E7-9A49BBF7631A}"/>
    <hyperlink ref="Q863" r:id="rId517" xr:uid="{752F9E53-3FD2-4BC4-B525-03EB515A9E4B}"/>
    <hyperlink ref="Q383" r:id="rId518" xr:uid="{929500C9-0117-45DD-828E-C1B4A8386234}"/>
    <hyperlink ref="Q388" r:id="rId519" xr:uid="{EA29CAE4-8C7E-4109-A5FC-5AFA983242F3}"/>
    <hyperlink ref="Q875" r:id="rId520" xr:uid="{F8FE5523-52AD-45C6-B17C-0BB848AF4282}"/>
    <hyperlink ref="Q876" r:id="rId521" xr:uid="{823429FC-2F58-4905-A6B4-12281E08947A}"/>
    <hyperlink ref="Q884" r:id="rId522" xr:uid="{3D065A31-E27F-457D-BC5D-AF2948CFDD4E}"/>
    <hyperlink ref="Q889" r:id="rId523" xr:uid="{FBE5FC48-358C-430C-B2B1-9D025FA32B26}"/>
    <hyperlink ref="Q895" r:id="rId524" xr:uid="{A63CAA3C-6057-46FD-8496-C1535FD8BFAC}"/>
    <hyperlink ref="Q908" r:id="rId525" xr:uid="{743787AB-1018-4A3E-B7BF-33A62C07E765}"/>
    <hyperlink ref="Q880" r:id="rId526" xr:uid="{EAD5C953-A43E-4178-AFF4-E856BBDDC30A}"/>
    <hyperlink ref="Q881" r:id="rId527" xr:uid="{D3DCD5BB-7ED8-4AD1-86CC-A0F113FBBA54}"/>
    <hyperlink ref="Q888" r:id="rId528" xr:uid="{A07DC6A6-CCED-4E87-9886-0F11AAEA0A22}"/>
    <hyperlink ref="Q910" r:id="rId529" xr:uid="{BFF63DCC-D167-4F4B-9F93-53447C484E40}"/>
    <hyperlink ref="Q909" r:id="rId530" xr:uid="{433A77FE-1952-4774-9D41-BB9DC5D3F151}"/>
    <hyperlink ref="Q916" r:id="rId531" xr:uid="{54BFC454-A395-4612-8D96-957A507F4EA1}"/>
    <hyperlink ref="Q913" r:id="rId532" xr:uid="{0D387F49-FF62-4794-B55A-CA9F60C8F4AF}"/>
    <hyperlink ref="Q877" r:id="rId533" xr:uid="{EBFAB957-A076-41A4-B99A-196B967B32D6}"/>
    <hyperlink ref="Q890" r:id="rId534" xr:uid="{934CE82B-98A1-4A9E-B5F1-4751BCFA4F8F}"/>
    <hyperlink ref="Q906" r:id="rId535" xr:uid="{57075825-C526-4240-8634-4541AB2FAA33}"/>
    <hyperlink ref="U328" r:id="rId536" xr:uid="{D29F2588-42D0-4D38-8D36-9E5E0F351DA7}"/>
    <hyperlink ref="U327" r:id="rId537" xr:uid="{517E1933-DE4E-4730-ABD4-1FCD31B81EB9}"/>
    <hyperlink ref="Q327" r:id="rId538" xr:uid="{D079CBBB-1F82-4315-B158-47F628D12877}"/>
    <hyperlink ref="Q328" r:id="rId539" xr:uid="{20877033-D2F5-4348-9894-EB746BF8FC48}"/>
    <hyperlink ref="Q329" r:id="rId540" xr:uid="{48E84BD5-29B5-4D91-9112-85DE72A421EF}"/>
    <hyperlink ref="Q378" r:id="rId541" xr:uid="{AE2B3680-E372-40D7-AAA9-CB62AF9B6ECC}"/>
    <hyperlink ref="Q389" r:id="rId542" xr:uid="{9C89DA19-8CC2-4F86-87E9-15E86D1F36BD}"/>
    <hyperlink ref="Q878" r:id="rId543" xr:uid="{DF77B290-5F94-4294-BF73-65514C1DD60F}"/>
    <hyperlink ref="Q898" r:id="rId544" xr:uid="{7D63F90C-96E5-4CB9-9D19-7302A2B15EFB}"/>
    <hyperlink ref="Q907" r:id="rId545" xr:uid="{3BD43EAE-061F-4A86-A644-D6206BD60618}"/>
    <hyperlink ref="Q370" r:id="rId546" xr:uid="{A4D100D2-00E0-4C97-ABD1-8BB36B8BBCAA}"/>
    <hyperlink ref="Q371" r:id="rId547" xr:uid="{6DED3A8B-5634-466D-8767-D95C45C60BD2}"/>
    <hyperlink ref="Q379" r:id="rId548" xr:uid="{F08E99C6-69A0-4D3F-943B-20CF2749FD74}"/>
    <hyperlink ref="Q380" r:id="rId549" xr:uid="{C4CDAA98-4808-4A12-A0A9-58D8F1A4E3E1}"/>
    <hyperlink ref="Q413" r:id="rId550" xr:uid="{BCAFD330-71AB-4C71-B698-642DACFA6635}"/>
    <hyperlink ref="Q414" r:id="rId551" xr:uid="{52F6B74F-3BA5-4197-AC87-159F86A8561F}"/>
    <hyperlink ref="Q407" r:id="rId552" xr:uid="{4A2A474D-08C5-4728-A7BC-653EDBAEC8EC}"/>
    <hyperlink ref="Q622" r:id="rId553" xr:uid="{937F064D-3705-4959-92A0-9E01BA42EF4B}"/>
    <hyperlink ref="Q38" r:id="rId554" xr:uid="{FDDB00B8-D4B8-4824-8C19-C7A1CEDC1D93}"/>
    <hyperlink ref="Q39" r:id="rId555" xr:uid="{03A2957C-1D1C-4E3A-A55D-5BFC83819C19}"/>
    <hyperlink ref="Q113" r:id="rId556" xr:uid="{78393276-E84F-4A66-9EC1-9BE4B121C01F}"/>
    <hyperlink ref="Q114" r:id="rId557" xr:uid="{A04C4C08-DAA9-424F-A571-FF3D24431784}"/>
    <hyperlink ref="Q122" r:id="rId558" xr:uid="{3825A47F-7F3B-4114-998D-01BD17D60399}"/>
    <hyperlink ref="Q15" r:id="rId559" xr:uid="{4C1689DE-D9D4-4D26-9E5B-13996678BF39}"/>
    <hyperlink ref="Q16" r:id="rId560" xr:uid="{EB474C4F-9540-4203-8569-F75C7AE3C86E}"/>
    <hyperlink ref="Q17" r:id="rId561" xr:uid="{0A3FA797-27C3-4504-A4E9-4123BD93E397}"/>
    <hyperlink ref="Q29" r:id="rId562" xr:uid="{C4D20F6B-3E84-4642-B80F-34B08162794C}"/>
    <hyperlink ref="Q30" r:id="rId563" xr:uid="{798E0770-2323-49E8-9389-5F55BABF32D1}"/>
    <hyperlink ref="Q31" r:id="rId564" xr:uid="{228651AE-8D58-4070-AB18-BDBFA508629B}"/>
    <hyperlink ref="Q44" r:id="rId565" xr:uid="{9770FE0E-B6E1-4824-831D-2F82D52F0F79}"/>
    <hyperlink ref="Q45" r:id="rId566" xr:uid="{C64AEEE5-2870-4326-BF90-5C5F57B0DE32}"/>
    <hyperlink ref="Q46" r:id="rId567" xr:uid="{351C6028-A451-459C-A46F-BA3203F522CE}"/>
    <hyperlink ref="Q59" r:id="rId568" xr:uid="{B4CED1AA-CB67-4DA7-B9AE-79CCB0B7E5AF}"/>
    <hyperlink ref="Q60" r:id="rId569" xr:uid="{9255E538-C200-4E74-9E04-747B172C66F5}"/>
    <hyperlink ref="Q61" r:id="rId570" xr:uid="{57AE1CB1-08C4-4BB6-9444-2FD45D6FED4A}"/>
    <hyperlink ref="Q73" r:id="rId571" xr:uid="{226BD17A-CCEB-4701-92EB-63B474FEB69D}"/>
    <hyperlink ref="Q74" r:id="rId572" xr:uid="{CDA45E99-E404-43C0-A81E-3DA1D72DF9C1}"/>
    <hyperlink ref="Q75" r:id="rId573" xr:uid="{7FEF6191-9B5B-435E-B428-64FE6952A559}"/>
    <hyperlink ref="Q87" r:id="rId574" xr:uid="{76585687-62E3-44B8-A60E-A178C13A909C}"/>
    <hyperlink ref="Q88" r:id="rId575" xr:uid="{89993309-2FD9-4218-A3D3-4A72204EA510}"/>
    <hyperlink ref="Q89" r:id="rId576" xr:uid="{F3317139-4A14-4EDA-9716-D2CD629B239C}"/>
    <hyperlink ref="Q129" r:id="rId577" xr:uid="{AE30DAF0-1DB1-4E45-B72F-CAB6B1613C62}"/>
    <hyperlink ref="Q130" r:id="rId578" xr:uid="{5E2B87FA-D008-4E31-A26E-343DF247351D}"/>
    <hyperlink ref="Q131" r:id="rId579" xr:uid="{FCEF68E7-3ACD-40A1-ADA9-ECE8C85FD6CD}"/>
    <hyperlink ref="Q746" r:id="rId580" xr:uid="{329B9A92-2B54-48D9-A99A-0DE262619B78}"/>
    <hyperlink ref="Q747" r:id="rId581" xr:uid="{AB717502-BBA6-4643-AB9A-8D23E747ECBD}"/>
    <hyperlink ref="Q3" r:id="rId582" display="mailto:hitechnm2@gmail.com" xr:uid="{1AB84B8C-798D-4807-9F8B-9D166D9922E2}"/>
    <hyperlink ref="Q119" r:id="rId583" xr:uid="{5C2018FB-8C6F-474C-9E3F-DEAA64A74AE6}"/>
    <hyperlink ref="Q133" r:id="rId584" xr:uid="{733351BC-E524-4886-832C-0B40DC105F60}"/>
    <hyperlink ref="Q134" r:id="rId585" xr:uid="{7D10E86D-1FAE-4250-A710-06A5A9C6BF3D}"/>
    <hyperlink ref="Q135" r:id="rId586" xr:uid="{A3B84404-A39A-49FF-B0D3-3F624F3A7D9B}"/>
    <hyperlink ref="Q136" r:id="rId587" xr:uid="{F196DD5C-770D-4F10-9041-C59501AC7572}"/>
    <hyperlink ref="Q137" r:id="rId588" xr:uid="{C81903C0-7866-4DB1-9C19-5B108F6E04BE}"/>
    <hyperlink ref="Q138" r:id="rId589" xr:uid="{00636450-3606-442B-9D28-C3239D2A8A52}"/>
    <hyperlink ref="Q151" r:id="rId590" xr:uid="{7C06DFE7-7ADD-4903-9484-3D4CA286A732}"/>
    <hyperlink ref="Q152" r:id="rId591" xr:uid="{0AF574CB-06CA-49C9-91F4-197BDC908CC8}"/>
    <hyperlink ref="Q153" r:id="rId592" xr:uid="{18D9721A-28E3-4EFA-9C7B-A17116D027D2}"/>
    <hyperlink ref="Q661" r:id="rId593" xr:uid="{CC7E9AF4-3353-402A-BA9D-A19F94D3B9EC}"/>
    <hyperlink ref="Q662" r:id="rId594" xr:uid="{F2ABB398-21A3-4DC0-A03B-FD9A98D13306}"/>
    <hyperlink ref="Q663" r:id="rId595" xr:uid="{B10239E9-4944-4DCF-99E6-9AA5B18C662F}"/>
    <hyperlink ref="Q352" r:id="rId596" xr:uid="{2B916A2A-BF28-4C1C-AF30-FD5F46CFEBAE}"/>
    <hyperlink ref="Q358" r:id="rId597" xr:uid="{EE27BEE6-2D0B-4401-B13F-D5DB32F16E5A}"/>
    <hyperlink ref="Q385" r:id="rId598" xr:uid="{38C948B3-9FCB-41A1-B043-15DD106F69EB}"/>
    <hyperlink ref="Q660" r:id="rId599" xr:uid="{FF5A4C01-6BB3-424E-B7E0-B84402525C30}"/>
    <hyperlink ref="Q132" r:id="rId600" xr:uid="{98FDF29E-32E4-4842-8BFD-2D5D69478F78}"/>
    <hyperlink ref="Q32" r:id="rId601" xr:uid="{7445F3D5-FE6C-4EAB-941B-D0A2BD69B099}"/>
    <hyperlink ref="Q33" r:id="rId602" xr:uid="{B48BCA89-1EC9-4FD7-980A-4F8C3B80EEC4}"/>
    <hyperlink ref="Q47" r:id="rId603" xr:uid="{83C1DA34-8894-42D2-8265-4D5EEE8D1CF8}"/>
    <hyperlink ref="Q48" r:id="rId604" xr:uid="{114227C0-A2FB-437E-BF91-CA02B92BE618}"/>
    <hyperlink ref="Q180" r:id="rId605" xr:uid="{EE7B3B63-9B62-428D-8AA7-BDCA5687B2ED}"/>
    <hyperlink ref="Q181" r:id="rId606" xr:uid="{AB148523-E50D-4EA4-805D-246D521E3CB6}"/>
    <hyperlink ref="Q182" r:id="rId607" xr:uid="{90B11C3B-3467-4337-AF5C-7E47E29D5CC5}"/>
    <hyperlink ref="Q183" r:id="rId608" xr:uid="{C70EBD0A-560A-40D6-BEB5-5BCE4D33C765}"/>
    <hyperlink ref="Q184" r:id="rId609" xr:uid="{056A520A-24FA-4B54-95F4-9FB2336064F9}"/>
    <hyperlink ref="Q185" r:id="rId610" xr:uid="{A8B37D07-0997-4071-8FC3-214396C6E9C6}"/>
    <hyperlink ref="Q186" r:id="rId611" xr:uid="{3C459638-FC53-4F6E-89C6-96E7C8611CB3}"/>
    <hyperlink ref="Q187" r:id="rId612" xr:uid="{DA3BC78F-F0F8-46FC-A532-A82DDF6CB678}"/>
    <hyperlink ref="Q188" r:id="rId613" xr:uid="{E8F3A3F1-E063-4DD2-9155-B441CC19BC98}"/>
    <hyperlink ref="Q189" r:id="rId614" xr:uid="{7F18272C-0C58-4ED7-A2AC-EFCF3B99C94B}"/>
    <hyperlink ref="Q139" r:id="rId615" xr:uid="{6082AFC5-E7DA-40BF-87AE-47938831F547}"/>
    <hyperlink ref="Q140" r:id="rId616" xr:uid="{C3CDE712-7992-41BF-A324-A671791A62D2}"/>
    <hyperlink ref="Q141" r:id="rId617" xr:uid="{5248477A-0A50-4A84-B5F3-7F22F7F2F42F}"/>
    <hyperlink ref="Q142" r:id="rId618" xr:uid="{8BCA383E-EAC9-4473-A8C2-E5412EFA5731}"/>
    <hyperlink ref="Q298" r:id="rId619" xr:uid="{C2BDFA33-90B8-47C5-82A9-F31B4F0C6140}"/>
    <hyperlink ref="Q297" r:id="rId620" xr:uid="{6E325DC8-F75C-4148-A1FE-9CA4325AB0D1}"/>
    <hyperlink ref="Q296" r:id="rId621" xr:uid="{0E7BFAAB-0D2D-42B0-A6B8-1B0A36972F1E}"/>
    <hyperlink ref="Q270" r:id="rId622" xr:uid="{59292927-7321-4839-9815-08366A556738}"/>
    <hyperlink ref="Q4" r:id="rId623" xr:uid="{5D915B23-C255-4D49-9811-D6706E2A9F39}"/>
    <hyperlink ref="Q109" r:id="rId624" xr:uid="{FF917711-D698-4804-9C54-1C30A8676D1E}"/>
    <hyperlink ref="Q110" r:id="rId625" xr:uid="{99E56124-1FDB-476E-A5EB-2DB23D26DA66}"/>
    <hyperlink ref="Q154" r:id="rId626" xr:uid="{D87C45B4-94B4-4BC8-B4AC-F910AA868D68}"/>
    <hyperlink ref="Q155" r:id="rId627" xr:uid="{5F5BB497-A230-401E-BBCD-9FA999F2C21A}"/>
    <hyperlink ref="Q659" r:id="rId628" xr:uid="{DACF261E-7BA4-4676-BEE2-D1F0CFD1D70E}"/>
    <hyperlink ref="Q665" r:id="rId629" xr:uid="{3B014F6A-CF55-457D-AB6F-C953EB226D6C}"/>
    <hyperlink ref="Q303" r:id="rId630" xr:uid="{93CA3917-4EE4-4575-8E90-28B6A45547BC}"/>
    <hyperlink ref="Q892" r:id="rId631" xr:uid="{0D4BFF2A-8DE0-4347-987D-581045630015}"/>
    <hyperlink ref="Q123" r:id="rId632" xr:uid="{D9264470-13FF-41F2-A5CF-8D892AE377A9}"/>
    <hyperlink ref="Q676" r:id="rId633" xr:uid="{638D5A7F-02B7-4762-8B6A-52E1C19E9C72}"/>
    <hyperlink ref="Q677" r:id="rId634" xr:uid="{D7B0FE93-FB94-4BF7-83A0-03D10DD0FA2F}"/>
    <hyperlink ref="Q678" r:id="rId635" xr:uid="{30CDC79E-2CFC-4770-BABF-9057491D6F6F}"/>
    <hyperlink ref="Q920" r:id="rId636" xr:uid="{FB3B4EF6-4FFE-44E4-9B8F-B81DE08B5DD4}"/>
    <hyperlink ref="Q62" r:id="rId637" xr:uid="{561BA3EE-35B4-4875-ADE3-F185AC3879D8}"/>
    <hyperlink ref="Q63" r:id="rId638" xr:uid="{4BBBAD8A-2264-4BDA-A14C-2EF031E8E583}"/>
    <hyperlink ref="Q76" r:id="rId639" xr:uid="{9118297E-820B-4736-8A95-EB52E165B508}"/>
    <hyperlink ref="Q77" r:id="rId640" xr:uid="{934C3FF5-3396-484C-8302-A4203BC49C0A}"/>
    <hyperlink ref="Q90" r:id="rId641" xr:uid="{6AD7B0D9-06C4-47F5-AF24-413F1BE9A129}"/>
    <hyperlink ref="Q91" r:id="rId642" xr:uid="{D6957B9B-EE21-4A4E-8850-5B2F470A7E18}"/>
    <hyperlink ref="Q92" r:id="rId643" xr:uid="{13216FFE-2C25-4C93-832C-5DB9EB6F06F1}"/>
    <hyperlink ref="Q93" r:id="rId644" xr:uid="{45789D21-DCF7-4BE9-8CA6-C9B2DA884711}"/>
    <hyperlink ref="Q94" r:id="rId645" xr:uid="{4F49589F-BFD5-4E70-80ED-EA47B2E8E220}"/>
    <hyperlink ref="Q95" r:id="rId646" xr:uid="{6B7C1176-012B-4AA7-BAB6-FA63C883A451}"/>
    <hyperlink ref="Q105" r:id="rId647" xr:uid="{F13A4444-7F78-46B1-A270-9D37570C0CAA}"/>
    <hyperlink ref="Q106" r:id="rId648" xr:uid="{2393631A-FFEC-48E5-A7F5-369B6B486CBE}"/>
    <hyperlink ref="Q107" r:id="rId649" xr:uid="{C266E51C-0D75-4192-9ADC-F0D65FD8159B}"/>
    <hyperlink ref="Q118" r:id="rId650" xr:uid="{2D69A73C-5E3F-4586-A494-7C79E88F723E}"/>
    <hyperlink ref="Q150" r:id="rId651" xr:uid="{3A163EFB-5E00-493C-B656-BD3273A473D2}"/>
    <hyperlink ref="Q651" r:id="rId652" xr:uid="{79613F71-1D0C-438E-8244-A8BE89E9E140}"/>
    <hyperlink ref="Q664" r:id="rId653" xr:uid="{95B51ED9-A754-40B8-8EB6-21C4B8DB4D23}"/>
    <hyperlink ref="Q919" r:id="rId654" xr:uid="{D6B95D71-853F-4FA8-AEBF-C875A679E51D}"/>
    <hyperlink ref="Q921" r:id="rId655" xr:uid="{62A90D84-ED0D-4A86-986D-58352001EF20}"/>
    <hyperlink ref="Q628" r:id="rId656" xr:uid="{699AF1F6-4667-441C-8189-B740E2A1E34F}"/>
    <hyperlink ref="Q715" r:id="rId657" xr:uid="{D8624E8F-B98B-430C-9095-27A3679E09B0}"/>
    <hyperlink ref="U715" r:id="rId658" xr:uid="{194E0515-FDD8-412A-85E4-F73C4DA27CFA}"/>
    <hyperlink ref="Q685" r:id="rId659" xr:uid="{DBA0DAC4-BAF3-44F7-961E-9D86304E8374}"/>
    <hyperlink ref="Q686" r:id="rId660" xr:uid="{623E9550-7AA0-4A1D-8342-C3271B7D1E7F}"/>
    <hyperlink ref="Q723" r:id="rId661" xr:uid="{72C0F7BF-7E73-4B42-B9C0-C36F8165718D}"/>
    <hyperlink ref="Q384" r:id="rId662" xr:uid="{E39BFD81-539E-4F62-A363-5EEC9D2F20B0}"/>
    <hyperlink ref="Q430" r:id="rId663" xr:uid="{869ACF37-E675-45DC-9CE7-E0AC0B828C28}"/>
    <hyperlink ref="Q652" r:id="rId664" xr:uid="{DEC94FCD-7452-49BA-A63A-D5AB1383A78C}"/>
    <hyperlink ref="U652" r:id="rId665" xr:uid="{C3E6FE9E-FE2B-4164-BF54-2B75BDBD866E}"/>
    <hyperlink ref="Q317" r:id="rId666" xr:uid="{16E25357-2D3E-4F54-9889-9473F55EC65C}"/>
    <hyperlink ref="Q321" r:id="rId667" xr:uid="{B440F43E-BD73-4DA5-96B3-199AEE85413B}"/>
    <hyperlink ref="Q393" r:id="rId668" xr:uid="{36C8232A-F462-4B6F-AEA6-FDA046A1F325}"/>
    <hyperlink ref="Q431" r:id="rId669" xr:uid="{82FE78EF-77F4-41BF-8257-B46C598AB671}"/>
    <hyperlink ref="Q623" r:id="rId670" xr:uid="{A450CA43-242D-41B4-8FDD-E9BFCB528460}"/>
    <hyperlink ref="Q625" r:id="rId671" xr:uid="{39003A6E-63D1-46F4-AE69-1FB6EA97F631}"/>
    <hyperlink ref="Q745" r:id="rId672" xr:uid="{E2BD6ED2-872E-4A25-8CCB-09EB51E368D7}"/>
    <hyperlink ref="Q749" r:id="rId673" xr:uid="{188F07BE-272E-4D7F-89F8-60BD04D193C9}"/>
    <hyperlink ref="Q191" r:id="rId674" xr:uid="{F05B9B02-8EBF-4B27-BBD7-1EF5B63CBF39}"/>
    <hyperlink ref="Q281" r:id="rId675" xr:uid="{AF6BB1BA-200E-4664-A8EB-4C4F0976D431}"/>
    <hyperlink ref="Q293" r:id="rId676" xr:uid="{732AA72B-EFDD-456F-85AF-45D50481E4CF}"/>
    <hyperlink ref="Q313" r:id="rId677" xr:uid="{29F313AA-598A-494D-AFFC-08EB91589901}"/>
    <hyperlink ref="Q316" r:id="rId678" xr:uid="{4EE3F597-B650-4D2E-A3F8-8402D0E8E2E5}"/>
    <hyperlink ref="Q320" r:id="rId679" xr:uid="{0C05DDE1-9E46-45E6-9BB5-67522C5A5372}"/>
    <hyperlink ref="Q334" r:id="rId680" xr:uid="{81381064-5904-4F9E-8DA1-FB77005AAC03}"/>
    <hyperlink ref="Q354" r:id="rId681" xr:uid="{0CA5D2DA-7A64-4E6B-90B7-29E8561FC125}"/>
    <hyperlink ref="Q362" r:id="rId682" xr:uid="{5F7F9492-B0BD-40FF-B753-ECF7EC679840}"/>
    <hyperlink ref="Q372" r:id="rId683" xr:uid="{6F6B3FC6-EA54-43AB-A543-A4EFB197AC3A}"/>
    <hyperlink ref="Q382" r:id="rId684" xr:uid="{B506E5C5-09B7-4007-9A81-3FB366EC47D9}"/>
    <hyperlink ref="Q401" r:id="rId685" xr:uid="{26684A5C-0CB2-4581-AC04-84EFB33C4478}"/>
    <hyperlink ref="Q626" r:id="rId686" xr:uid="{AABF973B-3E15-4DF1-936C-938685615A0C}"/>
    <hyperlink ref="Q722" r:id="rId687" xr:uid="{7C9AF318-8030-494D-B380-D5F2DCDC9082}"/>
    <hyperlink ref="Q741" r:id="rId688" xr:uid="{BBF1AE08-6697-437D-AD0B-59CA580E19CC}"/>
    <hyperlink ref="Q653" r:id="rId689" xr:uid="{604B6B69-CBAD-4E27-BCBD-79CE4725DEFA}"/>
    <hyperlink ref="Q654" r:id="rId690" xr:uid="{639244DF-9F76-4376-9FA5-3AC05D7AD9A9}"/>
    <hyperlink ref="Q655" r:id="rId691" xr:uid="{613936E1-44F6-4D0F-8F7C-372FC2C072B5}"/>
    <hyperlink ref="Q675" r:id="rId692" xr:uid="{3370D184-0EF3-4AEC-8DF7-E3B0293BE804}"/>
    <hyperlink ref="U674" r:id="rId693" xr:uid="{E20EBB32-738A-4428-9A5E-470F03AFD17D}"/>
    <hyperlink ref="Q674" r:id="rId694" xr:uid="{8A842CDF-9329-4034-94DF-3DE526B7A252}"/>
    <hyperlink ref="Q918" r:id="rId695" xr:uid="{E2CEEEA5-79D2-415B-9CB1-AA4022D3D6B2}"/>
    <hyperlink ref="Q258" r:id="rId696" xr:uid="{2229AA2E-43EB-4C3D-BFFC-F7F3C134FE74}"/>
    <hyperlink ref="Q259" r:id="rId697" xr:uid="{4885920D-97FC-4F3F-8D24-242E30D640A2}"/>
    <hyperlink ref="Q266" r:id="rId698" xr:uid="{8F3E08DE-57BE-43AF-9850-A7DFF3E23195}"/>
    <hyperlink ref="Q267" r:id="rId699" xr:uid="{42234E51-AB79-427B-BF10-49B9FAFA7E31}"/>
    <hyperlink ref="Q268" r:id="rId700" xr:uid="{01751781-3CBC-4531-82C9-F2F616490F3B}"/>
    <hyperlink ref="Q269" r:id="rId701" xr:uid="{AE4988E5-FEF4-4A86-948B-264E22CE2DB3}"/>
    <hyperlink ref="Q260" r:id="rId702" xr:uid="{29770C37-CA73-4236-9379-F247CD66656D}"/>
    <hyperlink ref="Q261" r:id="rId703" xr:uid="{3D8509D4-B80E-4CF4-BC40-77C229AD1A83}"/>
    <hyperlink ref="Q262" r:id="rId704" xr:uid="{BEE0788B-3A1F-4CC8-ADDD-772453928004}"/>
    <hyperlink ref="Q265" r:id="rId705" xr:uid="{489D9993-B94D-4A75-ACCA-3CF0D8B0794F}"/>
    <hyperlink ref="Q744" r:id="rId706" xr:uid="{45D3028D-6449-4AE4-8E2C-C7EBDAD21998}"/>
    <hyperlink ref="Q263" r:id="rId707" xr:uid="{B0D0B26E-908D-4227-BD3A-938F980E687D}"/>
    <hyperlink ref="Q742" r:id="rId708" xr:uid="{E08E9A1B-52A7-4554-835C-5261AEFBDA73}"/>
    <hyperlink ref="Q743" r:id="rId709" xr:uid="{65BE30EE-7BB3-4C2B-B6D8-D62AF738DEA5}"/>
    <hyperlink ref="Q405" r:id="rId710" xr:uid="{A6D1FA4D-3D5E-447A-A813-27330A31AA9B}"/>
    <hyperlink ref="Q406" r:id="rId711" xr:uid="{059EFDE6-B63A-4800-8E8D-674A96514133}"/>
    <hyperlink ref="Q14" r:id="rId712" xr:uid="{46174A54-8B68-4233-BDEF-4B5038CAD926}"/>
    <hyperlink ref="Q27" r:id="rId713" xr:uid="{034D8814-1532-4C0A-820A-7EF30AA4031E}"/>
    <hyperlink ref="Q43" r:id="rId714" xr:uid="{D6805C64-5864-48BA-B721-7D4526371913}"/>
    <hyperlink ref="Q58" r:id="rId715" xr:uid="{DBFE649F-564C-4A76-9296-A0DB5ACAB3CC}"/>
    <hyperlink ref="Q72" r:id="rId716" xr:uid="{04B6F20E-2483-4F8A-A193-3C2EC4DC8CBF}"/>
    <hyperlink ref="Q86" r:id="rId717" xr:uid="{2EFEDB6A-39C6-42AE-9219-CF9ACBD0882A}"/>
    <hyperlink ref="Q657" r:id="rId718" xr:uid="{F5B94D88-E35D-47DC-ACAE-4D7DC14B349E}"/>
    <hyperlink ref="Q449" r:id="rId719" xr:uid="{6C667D1C-5390-48C5-B132-6CB258739017}"/>
    <hyperlink ref="Q450" r:id="rId720" xr:uid="{FC712E25-0B02-4D7C-87E5-79E0BFF52A1E}"/>
    <hyperlink ref="Q451" r:id="rId721" xr:uid="{A388FB59-BC37-400A-B477-02F57DB8733E}"/>
    <hyperlink ref="Q452" r:id="rId722" xr:uid="{737B6483-D67B-4DFE-AD23-EE9A50762515}"/>
    <hyperlink ref="Q453" r:id="rId723" xr:uid="{5FDA7AD9-84AF-4B3C-9A04-E5AE07EE1FC8}"/>
    <hyperlink ref="Q454" r:id="rId724" xr:uid="{B35A445B-6833-40BF-98DB-B7B70B5E9A8C}"/>
    <hyperlink ref="Q466" r:id="rId725" xr:uid="{A2168D25-DD49-40B1-ADC7-5DE2F456FB4B}"/>
    <hyperlink ref="Q487" r:id="rId726" xr:uid="{B28F842D-8E9F-429E-93E8-68DE2DB73F82}"/>
    <hyperlink ref="Q497" r:id="rId727" xr:uid="{B41EA59E-FF73-476D-867A-67E46FDEF1CF}"/>
    <hyperlink ref="Q506" r:id="rId728" xr:uid="{C098AD7C-EE13-44C8-8F37-666A2A55EF17}"/>
    <hyperlink ref="Q515" r:id="rId729" xr:uid="{90713761-964B-4036-AE18-28084EC76D00}"/>
    <hyperlink ref="Q543" r:id="rId730" xr:uid="{5F0B0836-7A84-4F58-92F4-15DA29E41775}"/>
    <hyperlink ref="Q552" r:id="rId731" xr:uid="{41466E7C-4F1D-49A8-95C7-8893BD8E79EF}"/>
    <hyperlink ref="Q569" r:id="rId732" xr:uid="{3C29F54B-366A-40A4-9BB9-B7DD101153E6}"/>
    <hyperlink ref="Q590" r:id="rId733" xr:uid="{2F58A4E1-2F4F-4B8C-915E-4D6E2326F532}"/>
    <hyperlink ref="Q202" r:id="rId734" xr:uid="{6E7A0E4E-9E79-4F2D-B82B-7CD6C0BF39A9}"/>
    <hyperlink ref="Q204" r:id="rId735" xr:uid="{13EF3DE4-49AE-44D7-A376-0082CE464FF0}"/>
    <hyperlink ref="Q206" r:id="rId736" xr:uid="{F37CB843-9224-46E2-A70A-8BAA1A9CC145}"/>
    <hyperlink ref="Q208" r:id="rId737" xr:uid="{D62DED41-1DA3-4DB3-A0C3-6C25684C146B}"/>
    <hyperlink ref="Q214" r:id="rId738" xr:uid="{4AB78FFF-CBBF-4994-9A87-6D1FAC81E476}"/>
    <hyperlink ref="Q216" r:id="rId739" xr:uid="{6B286588-F53C-4965-ADE6-F4305119D2F1}"/>
    <hyperlink ref="Q254" r:id="rId740" xr:uid="{1B27B6B6-9824-4D00-BFA2-E787EFF13A45}"/>
    <hyperlink ref="Q257" r:id="rId741" xr:uid="{91FBF8EB-3A2E-479E-A683-3603FC1EAE58}"/>
    <hyperlink ref="Q304" r:id="rId742" xr:uid="{711D9CAF-791B-4B7F-A149-C3E0F4D9ADDF}"/>
    <hyperlink ref="Q311" r:id="rId743" xr:uid="{5236B978-AAF9-4FF7-B790-ECE3A7D9CCC2}"/>
    <hyperlink ref="Q630" r:id="rId744" xr:uid="{4FBE0D33-A620-40D1-824E-C4A38753B5CB}"/>
    <hyperlink ref="Q924" r:id="rId745" xr:uid="{368F38E3-B94E-4BD8-9066-3D12614F39C1}"/>
    <hyperlink ref="Q925" r:id="rId746" xr:uid="{A436E2F6-0620-4BBD-85A7-947E4AB5F3CD}"/>
    <hyperlink ref="Q926" r:id="rId747" xr:uid="{98C8BFE3-A02E-4F0F-A80D-B02584A529C1}"/>
    <hyperlink ref="Q218" r:id="rId748" xr:uid="{9A25F3A8-C239-4AD8-942E-99629870A5AE}"/>
    <hyperlink ref="Q220" r:id="rId749" xr:uid="{4E7FD98E-3846-4A8D-A8F7-8494D73951E3}"/>
    <hyperlink ref="Q624" r:id="rId750" xr:uid="{C6C30071-91A0-4495-9D0C-0D8B209201CB}"/>
    <hyperlink ref="Q627" r:id="rId751" xr:uid="{85CF6D8D-053D-4E08-BF99-63371E26196A}"/>
    <hyperlink ref="Q333" r:id="rId752" xr:uid="{7E7F12AE-EFF7-4DE2-97CA-180B59C8029E}"/>
    <hyperlink ref="Q332" r:id="rId753" xr:uid="{57B20479-7535-47A0-9F49-10FD4CE161B2}"/>
    <hyperlink ref="Q331" r:id="rId754" xr:uid="{B3E4C5D0-BAEC-49F0-B4CB-7EFE429ED413}"/>
    <hyperlink ref="Q341" r:id="rId755" xr:uid="{41E3102A-30F3-4999-8B2E-D74B419A3C5C}"/>
    <hyperlink ref="Q340" r:id="rId756" xr:uid="{BF16D072-45E9-4715-8583-3A245033A0C7}"/>
    <hyperlink ref="Q339" r:id="rId757" xr:uid="{DC1F8908-5CA7-4D29-8AC6-E47C9659EDB2}"/>
    <hyperlink ref="Q351" r:id="rId758" xr:uid="{1754708F-A0FC-479E-AAB0-8E2A5B00A16D}"/>
    <hyperlink ref="Q350" r:id="rId759" xr:uid="{1E4E56DE-B2BB-4EE7-8326-273207E7A792}"/>
    <hyperlink ref="Q349" r:id="rId760" xr:uid="{2DCC550B-AC99-4435-A98D-71D0C569478E}"/>
    <hyperlink ref="Q927" r:id="rId761" display="mailto:hitechnm2@gmail.com" xr:uid="{27D7F389-6C67-40CB-AA8E-2A2E2C82909B}"/>
    <hyperlink ref="Q928" r:id="rId762" display="mailto:hitechnm2@gmail.com" xr:uid="{F8023F0F-4068-4D77-90C2-9399C10B3C49}"/>
    <hyperlink ref="Q929" r:id="rId763" display="mailto:hitechnm2@gmail.com" xr:uid="{60874B37-4D49-4C21-8B0B-A039717A3436}"/>
    <hyperlink ref="Q930" r:id="rId764" display="mailto:hitechnm2@gmail.com" xr:uid="{6F8D0018-7229-47B1-A73E-5BEFD2BE9072}"/>
    <hyperlink ref="Q931" r:id="rId765" display="mailto:hitechnm2@gmail.com" xr:uid="{316C841F-9E7E-44AF-B694-C0F4E8EA424B}"/>
    <hyperlink ref="Q932" r:id="rId766" display="mailto:hitechnm2@gmail.com" xr:uid="{1C3A66CF-42CB-44A1-9399-196AA70F568C}"/>
    <hyperlink ref="U432" r:id="rId767" xr:uid="{D62F741D-DB27-478F-B532-496C80B4D6E3}"/>
  </hyperlinks>
  <pageMargins left="0.70866141732283472" right="0.70866141732283472" top="0.74803149606299213" bottom="0.74803149606299213" header="0.31496062992125984" footer="0.31496062992125984"/>
  <pageSetup paperSize="9" orientation="landscape" r:id="rId7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Temghar Assets</vt:lpstr>
      <vt:lpstr>'Master Temghar Assets'!Print_Titles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Durvesh Mhatre_ESPL</dc:creator>
  <cp:keywords/>
  <dc:description/>
  <cp:lastModifiedBy>Durvesh Mhatre_ESPL</cp:lastModifiedBy>
  <cp:revision/>
  <cp:lastPrinted>2026-03-27T05:50:16Z</cp:lastPrinted>
  <dcterms:created xsi:type="dcterms:W3CDTF">2015-06-05T18:17:20Z</dcterms:created>
  <dcterms:modified xsi:type="dcterms:W3CDTF">2026-03-28T11:38:00Z</dcterms:modified>
  <cp:category/>
  <cp:contentStatus/>
</cp:coreProperties>
</file>