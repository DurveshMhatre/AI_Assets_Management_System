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Encure IT System Project\AMS AI System\asset-management\"/>
    </mc:Choice>
  </mc:AlternateContent>
  <xr:revisionPtr revIDLastSave="0" documentId="13_ncr:1_{53E73F55-62BB-4EBF-8D26-338D090DBD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vailable Data" sheetId="1" r:id="rId1"/>
    <sheet name="Summary of Data" sheetId="2" r:id="rId2"/>
  </sheets>
  <definedNames>
    <definedName name="_xlnm._FilterDatabase" localSheetId="0" hidden="1">'Available Data'!$A$1:$AE$28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3" i="1"/>
  <c r="P4" i="1"/>
  <c r="P2" i="1"/>
  <c r="AB5" i="1" l="1"/>
  <c r="AB6" i="1"/>
  <c r="AB7" i="1"/>
  <c r="AB8" i="1"/>
  <c r="AB9" i="1"/>
  <c r="AB10" i="1"/>
  <c r="AB14" i="1"/>
  <c r="AB16" i="1"/>
  <c r="AB17" i="1"/>
  <c r="AB18" i="1"/>
  <c r="AB19" i="1"/>
  <c r="AB20" i="1"/>
  <c r="AB22" i="1"/>
  <c r="AB23" i="1"/>
  <c r="AB24" i="1"/>
  <c r="AB25" i="1"/>
  <c r="AB26" i="1"/>
  <c r="AB27" i="1"/>
  <c r="AB28" i="1"/>
  <c r="AB2" i="1"/>
</calcChain>
</file>

<file path=xl/sharedStrings.xml><?xml version="1.0" encoding="utf-8"?>
<sst xmlns="http://schemas.openxmlformats.org/spreadsheetml/2006/main" count="829" uniqueCount="277">
  <si>
    <t>Supplier Name</t>
  </si>
  <si>
    <t>Location</t>
  </si>
  <si>
    <t>Rate</t>
  </si>
  <si>
    <t>Gross Amount</t>
  </si>
  <si>
    <t>Supplier Email</t>
  </si>
  <si>
    <t>Temghar</t>
  </si>
  <si>
    <t>NA</t>
  </si>
  <si>
    <t>Laptop</t>
  </si>
  <si>
    <t xml:space="preserve">Global Enterprises </t>
  </si>
  <si>
    <t>globalentp13@gmail.com</t>
  </si>
  <si>
    <t>09, Risbud house siddhivinayak shopping center, opp bata showroom near jambhali naka station road, Thane (W) 400601</t>
  </si>
  <si>
    <t>Epson</t>
  </si>
  <si>
    <t>Green apple compunet</t>
  </si>
  <si>
    <t>GAC-6000/2023-24</t>
  </si>
  <si>
    <t>computechgreen@gmail.com</t>
  </si>
  <si>
    <t>9022260222/9594248270</t>
  </si>
  <si>
    <t>Shop No.1,2 &amp; 3, Gajanan Commercial Complex, Datta Mandir RD, Thane west 400601</t>
  </si>
  <si>
    <t>2023-24</t>
  </si>
  <si>
    <t>Speaker</t>
  </si>
  <si>
    <t>Artis BT600 multimedia trolley speaker</t>
  </si>
  <si>
    <t>GAC-9044/2023-24</t>
  </si>
  <si>
    <t>office Equipment</t>
  </si>
  <si>
    <t>2024-25</t>
  </si>
  <si>
    <t>Lenovo</t>
  </si>
  <si>
    <t>GAC-003800/24-25</t>
  </si>
  <si>
    <t>Printer</t>
  </si>
  <si>
    <t>HP</t>
  </si>
  <si>
    <t>GAC-5874/2023-24</t>
  </si>
  <si>
    <t xml:space="preserve">Supply of HP 15 S-FR2515TU </t>
  </si>
  <si>
    <t>(S.E Elec) Office</t>
  </si>
  <si>
    <t>Furniture and Fixture</t>
  </si>
  <si>
    <t xml:space="preserve">Sigma Revolving Chair </t>
  </si>
  <si>
    <t>Sigma</t>
  </si>
  <si>
    <t>Visiting Orbit Chair</t>
  </si>
  <si>
    <t>Orbit</t>
  </si>
  <si>
    <t>Bhagirath interiors</t>
  </si>
  <si>
    <t>bhagirathinteriors@gmail.com</t>
  </si>
  <si>
    <t>Office Chair</t>
  </si>
  <si>
    <t xml:space="preserve">Supply of Mid Back chair </t>
  </si>
  <si>
    <t>11-23/24</t>
  </si>
  <si>
    <t>Orbit Fix Legged Mesh chair</t>
  </si>
  <si>
    <t>(S.E civil) Cabin</t>
  </si>
  <si>
    <t>Neelkamal</t>
  </si>
  <si>
    <t>2025-26</t>
  </si>
  <si>
    <t>Dustbin</t>
  </si>
  <si>
    <t>Description</t>
  </si>
  <si>
    <t>Godrej</t>
  </si>
  <si>
    <t>Manpada junction, Opp Titan Hospital, G.B Road, Thane(W) 400607</t>
  </si>
  <si>
    <t>EOT Crane</t>
  </si>
  <si>
    <t>Projector</t>
  </si>
  <si>
    <t>steel cupboard</t>
  </si>
  <si>
    <t>Sofa</t>
  </si>
  <si>
    <t>Visitng Cushion Chair</t>
  </si>
  <si>
    <t>Large Rectangle Table</t>
  </si>
  <si>
    <t>rectangle table</t>
  </si>
  <si>
    <t>Chair</t>
  </si>
  <si>
    <t>CCTV</t>
  </si>
  <si>
    <t xml:space="preserve">Plastic Chair </t>
  </si>
  <si>
    <t xml:space="preserve">DESIGNING,MANUFACTURING,SUPPLYING and COMMISSIONING 5 TONNE CAPACITY EOT CRANE AT CHLORINE HOUSE and 2 TONNE CAPACITY CHAIN HOIST AT FLASH MIXER,WTP TEMGHAR </t>
  </si>
  <si>
    <t>Chlorine Room</t>
  </si>
  <si>
    <t>Epson Projector</t>
  </si>
  <si>
    <t>Rest house(main hall)</t>
  </si>
  <si>
    <t>5.11 feet length, 2.9 feet width</t>
  </si>
  <si>
    <t xml:space="preserve">Godrej </t>
  </si>
  <si>
    <t xml:space="preserve">Supply of 3 seater sofa brown color Provided at rest House (Room No.2) </t>
  </si>
  <si>
    <t>Rest house(Room.no.2)</t>
  </si>
  <si>
    <t xml:space="preserve">Supply of 3 seater sofa brown color Provided at rest House (Room No.3) </t>
  </si>
  <si>
    <t>Rest house(Room.no.3)</t>
  </si>
  <si>
    <t>Supply of All in one Computer of Lenovo NEO 30a</t>
  </si>
  <si>
    <t xml:space="preserve">Lenovo </t>
  </si>
  <si>
    <t>GODREJ</t>
  </si>
  <si>
    <t>LG</t>
  </si>
  <si>
    <t>HIKVision</t>
  </si>
  <si>
    <t>WTP temghar</t>
  </si>
  <si>
    <t>Suvas Electricals</t>
  </si>
  <si>
    <t>Plant and Machinery</t>
  </si>
  <si>
    <t>Computer</t>
  </si>
  <si>
    <t>Classic Enterprises</t>
  </si>
  <si>
    <t>Bhagirath Interiors</t>
  </si>
  <si>
    <t>B-1/14/14-15</t>
  </si>
  <si>
    <t xml:space="preserve">B-1/17 FOR 2017-18 </t>
  </si>
  <si>
    <t>007/2019-20</t>
  </si>
  <si>
    <t>0162-18/19, 0165-18/19</t>
  </si>
  <si>
    <t>Jaydeep Emphasis Unit No. 405, Opp. Punjab National Bank, Near Datta Mandir, Mulund Wagle Check, Thane. </t>
  </si>
  <si>
    <t>2018-19</t>
  </si>
  <si>
    <t>2019-20</t>
  </si>
  <si>
    <t>2013-14</t>
  </si>
  <si>
    <t>Brand</t>
  </si>
  <si>
    <t xml:space="preserve">Qty </t>
  </si>
  <si>
    <t>Scrap</t>
  </si>
  <si>
    <t>Purchase Date</t>
  </si>
  <si>
    <t>Excel Entry Date</t>
  </si>
  <si>
    <t>Bill No.</t>
  </si>
  <si>
    <t>Supplier Address</t>
  </si>
  <si>
    <t>Year</t>
  </si>
  <si>
    <t>Photo Ref</t>
  </si>
  <si>
    <t>Street Light</t>
  </si>
  <si>
    <t>Supply of Street Light with Pole</t>
  </si>
  <si>
    <t>Pavanputra Enterprises</t>
  </si>
  <si>
    <t>Electrical Fitting</t>
  </si>
  <si>
    <t>No</t>
  </si>
  <si>
    <t>B-1/56/13-14</t>
  </si>
  <si>
    <t>086554 74162</t>
  </si>
  <si>
    <t>Found</t>
  </si>
  <si>
    <t>3 seater sofa</t>
  </si>
  <si>
    <t>3 Seater Sofa</t>
  </si>
  <si>
    <t>Dining table</t>
  </si>
  <si>
    <t>Glass dining table , 6feet long and 2.5 feet width</t>
  </si>
  <si>
    <t>godrej</t>
  </si>
  <si>
    <t>2016-17</t>
  </si>
  <si>
    <t>Dining table chairs</t>
  </si>
  <si>
    <t>wooden chairs for dining table</t>
  </si>
  <si>
    <t>Artis</t>
  </si>
  <si>
    <t>wooden cupboard</t>
  </si>
  <si>
    <t>wooden Cupboard 2 Door (6.0 feet length, 2.9 feet width)</t>
  </si>
  <si>
    <t>Rest house(Room.no.1)</t>
  </si>
  <si>
    <t>Wooden cupboard</t>
  </si>
  <si>
    <t>wooden bed</t>
  </si>
  <si>
    <t>7.2 feet length, 5.2 feet width</t>
  </si>
  <si>
    <t>Wooden Bed</t>
  </si>
  <si>
    <t xml:space="preserve">wooden bed </t>
  </si>
  <si>
    <t>wooden desk</t>
  </si>
  <si>
    <t>Electric lawn mower</t>
  </si>
  <si>
    <t>50-60 HZ, 400W,sr no.0044774</t>
  </si>
  <si>
    <t>makita</t>
  </si>
  <si>
    <t>Rest House Area</t>
  </si>
  <si>
    <t>M/S SACHIN RASAL</t>
  </si>
  <si>
    <t>D-34/2017-18</t>
  </si>
  <si>
    <t>2017-18</t>
  </si>
  <si>
    <t>Desktop</t>
  </si>
  <si>
    <t>Lenovo Desktop</t>
  </si>
  <si>
    <t>HP Laserjet P1108 Printer</t>
  </si>
  <si>
    <t>HP Printer</t>
  </si>
  <si>
    <t xml:space="preserve">Air conditioner </t>
  </si>
  <si>
    <t>Bluestar</t>
  </si>
  <si>
    <t>Glass Tea Poy Table</t>
  </si>
  <si>
    <t>Biometric machine</t>
  </si>
  <si>
    <t>ESSL</t>
  </si>
  <si>
    <t>2012-13</t>
  </si>
  <si>
    <t>Cushion Chair</t>
  </si>
  <si>
    <t>18 locker cupboard</t>
  </si>
  <si>
    <t>Table Small Size</t>
  </si>
  <si>
    <t>2020-21</t>
  </si>
  <si>
    <t>Mitsubishi</t>
  </si>
  <si>
    <t>Filter Bed or Filteration System</t>
  </si>
  <si>
    <t>Coffee Table - Cairo</t>
  </si>
  <si>
    <t xml:space="preserve">Wooden Drawers </t>
  </si>
  <si>
    <t>Coffee Table - Gayle</t>
  </si>
  <si>
    <t xml:space="preserve">Desktop </t>
  </si>
  <si>
    <t>Desktop Table</t>
  </si>
  <si>
    <t xml:space="preserve">Table </t>
  </si>
  <si>
    <t>Grand Total</t>
  </si>
  <si>
    <t>10936 Total</t>
  </si>
  <si>
    <t>13500 Total</t>
  </si>
  <si>
    <t>Godrej Total</t>
  </si>
  <si>
    <t>18 locker cupboard Total</t>
  </si>
  <si>
    <t>46611.6 Total</t>
  </si>
  <si>
    <t>Bluestar Total</t>
  </si>
  <si>
    <t>42174 Total</t>
  </si>
  <si>
    <t>Mitsubishi Total</t>
  </si>
  <si>
    <t>Air conditioner  Total</t>
  </si>
  <si>
    <t>23062 Total</t>
  </si>
  <si>
    <t>ESSL Total</t>
  </si>
  <si>
    <t>Biometric machine Total</t>
  </si>
  <si>
    <t>5347 Total</t>
  </si>
  <si>
    <t>HIKVision Total</t>
  </si>
  <si>
    <t>CCTV Total</t>
  </si>
  <si>
    <t>3050 Total</t>
  </si>
  <si>
    <t>NA Total</t>
  </si>
  <si>
    <t>Chair Total</t>
  </si>
  <si>
    <t>10311.2914285714 Total</t>
  </si>
  <si>
    <t>Coffee Table - Cairo Total</t>
  </si>
  <si>
    <t>15697.7314285714 Total</t>
  </si>
  <si>
    <t>Coffee Table - Gayle Total</t>
  </si>
  <si>
    <t>7611 Total</t>
  </si>
  <si>
    <t>Cushion Chair Total</t>
  </si>
  <si>
    <t>52100 Total</t>
  </si>
  <si>
    <t>Lenovo Total</t>
  </si>
  <si>
    <t>Lenovo  Total</t>
  </si>
  <si>
    <t>40800 Total</t>
  </si>
  <si>
    <t>LG Total</t>
  </si>
  <si>
    <t>Desktop Total</t>
  </si>
  <si>
    <t>Desktop  Total</t>
  </si>
  <si>
    <t>6530 Total</t>
  </si>
  <si>
    <t>Desktop Table Total</t>
  </si>
  <si>
    <t>53908 Total</t>
  </si>
  <si>
    <t>Dining table Total</t>
  </si>
  <si>
    <t>8931 Total</t>
  </si>
  <si>
    <t>Dining table chairs Total</t>
  </si>
  <si>
    <t>3600 Total</t>
  </si>
  <si>
    <t>Neelkamal Total</t>
  </si>
  <si>
    <t>Dustbin Total</t>
  </si>
  <si>
    <t>135535.888888889 Total</t>
  </si>
  <si>
    <t>makita Total</t>
  </si>
  <si>
    <t>Electric lawn mower Total</t>
  </si>
  <si>
    <t>425465 Total</t>
  </si>
  <si>
    <t>650472 Total</t>
  </si>
  <si>
    <t>EOT Crane Total</t>
  </si>
  <si>
    <t>44925.2272727273 Total</t>
  </si>
  <si>
    <t>Filter Bed or Filteration System Total</t>
  </si>
  <si>
    <t>Glass Tea Poy Table Total</t>
  </si>
  <si>
    <t>50000 Total</t>
  </si>
  <si>
    <t>HP Total</t>
  </si>
  <si>
    <t>Laptop Total</t>
  </si>
  <si>
    <t>9617 Total</t>
  </si>
  <si>
    <t>Large Rectangle Table Total</t>
  </si>
  <si>
    <t>8201 Total</t>
  </si>
  <si>
    <t>Orbit Total</t>
  </si>
  <si>
    <t>Office Chair Total</t>
  </si>
  <si>
    <t>1400 Total</t>
  </si>
  <si>
    <t>Plastic Chair  Total</t>
  </si>
  <si>
    <t>9950 Total</t>
  </si>
  <si>
    <t>13516 Total</t>
  </si>
  <si>
    <t>Printer Total</t>
  </si>
  <si>
    <t>55440 Total</t>
  </si>
  <si>
    <t>Epson Total</t>
  </si>
  <si>
    <t>Projector Total</t>
  </si>
  <si>
    <t>2821.375 Total</t>
  </si>
  <si>
    <t>rectangle table Total</t>
  </si>
  <si>
    <t>6500 Total</t>
  </si>
  <si>
    <t>Sigma Total</t>
  </si>
  <si>
    <t>Sigma Revolving Chair  Total</t>
  </si>
  <si>
    <t>24319.7714285714 Total</t>
  </si>
  <si>
    <t>31426 Total</t>
  </si>
  <si>
    <t>Sofa Total</t>
  </si>
  <si>
    <t>19305 Total</t>
  </si>
  <si>
    <t>Artis Total</t>
  </si>
  <si>
    <t>Speaker Total</t>
  </si>
  <si>
    <t>5900 Total</t>
  </si>
  <si>
    <t>20022 Total</t>
  </si>
  <si>
    <t>34567.2314285714 Total</t>
  </si>
  <si>
    <t>34568.2314285714 Total</t>
  </si>
  <si>
    <t>Godrej  Total</t>
  </si>
  <si>
    <t>steel cupboard Total</t>
  </si>
  <si>
    <t>27441 Total</t>
  </si>
  <si>
    <t>Street Light Total</t>
  </si>
  <si>
    <t>13150 Total</t>
  </si>
  <si>
    <t>Table  Total</t>
  </si>
  <si>
    <t>Table Small Size Total</t>
  </si>
  <si>
    <t>5000 Total</t>
  </si>
  <si>
    <t>Visiting Orbit Chair Total</t>
  </si>
  <si>
    <t>Visitng Cushion Chair Total</t>
  </si>
  <si>
    <t>62722 Total</t>
  </si>
  <si>
    <t>wooden bed Total</t>
  </si>
  <si>
    <t>57454.75 Total</t>
  </si>
  <si>
    <t>wooden bed  Total</t>
  </si>
  <si>
    <t>34567 Total</t>
  </si>
  <si>
    <t>wooden cupboard Total</t>
  </si>
  <si>
    <t>9405 Total</t>
  </si>
  <si>
    <t>Wooden Drawers  Total</t>
  </si>
  <si>
    <t>Make</t>
  </si>
  <si>
    <t>Assets Name]</t>
  </si>
  <si>
    <t>Quantity</t>
  </si>
  <si>
    <t>Asset Name</t>
  </si>
  <si>
    <t>Asset Availability status</t>
  </si>
  <si>
    <t>Pincode</t>
  </si>
  <si>
    <t>Ground Floor, House No 920, Greenpark Residency, NR Toll Naka, Arjunali Post Padgha, Bhiwandi, Thane, Maharashtra 421101</t>
  </si>
  <si>
    <t>Serial Number</t>
  </si>
  <si>
    <t>Purchase Price</t>
  </si>
  <si>
    <t>Assets Status</t>
  </si>
  <si>
    <t>Warranty</t>
  </si>
  <si>
    <t>Salvage Value</t>
  </si>
  <si>
    <t xml:space="preserve">Useful Life As per Co, Act 2013 </t>
  </si>
  <si>
    <t>City</t>
  </si>
  <si>
    <t>Bhiwandi</t>
  </si>
  <si>
    <t>Mulund</t>
  </si>
  <si>
    <t>Thane</t>
  </si>
  <si>
    <t>Supplier Phone</t>
  </si>
  <si>
    <t>Depreciation Method</t>
  </si>
  <si>
    <t>Straight Line Method</t>
  </si>
  <si>
    <t xml:space="preserve">Assigned to </t>
  </si>
  <si>
    <t>Company Policy</t>
  </si>
  <si>
    <t>None</t>
  </si>
  <si>
    <t>Active</t>
  </si>
  <si>
    <t>Warranty Date</t>
  </si>
  <si>
    <t>Admin User</t>
  </si>
  <si>
    <t>Asset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</si>
</sst>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Century Gothic"/>
      <family val="2"/>
    </font>
    <font>
      <sz val="8"/>
      <color rgb="FF000000"/>
      <name val="Century Gothic"/>
      <family val="2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0" pivotButton="1" applyFont="1"/>
    <xf numFmtId="0" fontId="6" fillId="0" borderId="0" xfId="0" applyFont="1"/>
    <xf numFmtId="1" fontId="0" fillId="0" borderId="0" xfId="0" applyNumberFormat="1"/>
    <xf numFmtId="1" fontId="1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554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vesh Mhatre_ESPL" refreshedDate="46049.472515162037" createdVersion="8" refreshedVersion="8" minRefreshableVersion="3" recordCount="88" xr:uid="{FE78EA76-5A97-42DC-AC1E-8E283798BF5D}">
  <cacheSource type="worksheet">
    <worksheetSource ref="A1:AE28" sheet="Available Data"/>
  </cacheSource>
  <cacheFields count="22">
    <cacheField name=" Name of assets " numFmtId="0">
      <sharedItems count="38">
        <s v="Street Light"/>
        <s v="EOT Crane"/>
        <s v="Sofa"/>
        <s v="Dining table"/>
        <s v="Dining table chairs"/>
        <s v="Projector"/>
        <s v="steel cupboard"/>
        <s v="Speaker"/>
        <s v="wooden cupboard"/>
        <s v="wooden bed"/>
        <s v="wooden bed "/>
        <s v="Electric lawn mower"/>
        <s v="Desktop"/>
        <s v="Printer"/>
        <s v="Office Chair"/>
        <s v="Visitng Cushion Chair"/>
        <s v="Laptop"/>
        <s v="Air conditioner "/>
        <s v="Glass Tea Poy Table"/>
        <s v="Large Rectangle Table"/>
        <s v="Biometric machine"/>
        <s v="Cushion Chair"/>
        <s v="rectangle table"/>
        <s v="18 locker cupboard"/>
        <s v="Table Small Size"/>
        <s v="Filter Bed or Filteration System"/>
        <s v="Coffee Table - Cairo"/>
        <s v="Wooden Drawers "/>
        <s v="Coffee Table - Gayle"/>
        <s v="Desktop "/>
        <s v="Sigma Revolving Chair "/>
        <s v="Visiting Orbit Chair"/>
        <s v="Chair"/>
        <s v="CCTV"/>
        <s v="Desktop Table"/>
        <s v="Table "/>
        <s v="Plastic Chair "/>
        <s v="Dustbin"/>
      </sharedItems>
    </cacheField>
    <cacheField name="Description" numFmtId="0">
      <sharedItems/>
    </cacheField>
    <cacheField name="Brand" numFmtId="0">
      <sharedItems count="17">
        <s v="NA"/>
        <s v="Godrej"/>
        <s v="Epson"/>
        <s v="Godrej "/>
        <s v="Artis"/>
        <s v="makita"/>
        <s v="Lenovo "/>
        <s v="HP"/>
        <s v="Orbit"/>
        <s v="Lenovo"/>
        <s v="Bluestar"/>
        <s v="ESSL"/>
        <s v="LG"/>
        <s v="Mitsubishi"/>
        <s v="Sigma"/>
        <s v="HIKVision"/>
        <s v="Neelkamal"/>
      </sharedItems>
    </cacheField>
    <cacheField name="Sub Location" numFmtId="0">
      <sharedItems/>
    </cacheField>
    <cacheField name="Qty " numFmtId="0">
      <sharedItems containsSemiMixedTypes="0" containsString="0" containsNumber="1" containsInteger="1" minValue="1" maxValue="83"/>
    </cacheField>
    <cacheField name="Supplier Name" numFmtId="0">
      <sharedItems/>
    </cacheField>
    <cacheField name="Location" numFmtId="0">
      <sharedItems containsBlank="1"/>
    </cacheField>
    <cacheField name="Asset Group" numFmtId="0">
      <sharedItems containsBlank="1"/>
    </cacheField>
    <cacheField name="Availability status" numFmtId="0">
      <sharedItems containsBlank="1"/>
    </cacheField>
    <cacheField name="Scrap" numFmtId="0">
      <sharedItems containsBlank="1"/>
    </cacheField>
    <cacheField name="Purchase Date" numFmtId="0">
      <sharedItems containsSemiMixedTypes="0" containsNonDate="0" containsDate="1" containsString="0" minDate="2012-08-14T00:00:00" maxDate="2025-08-31T00:00:00"/>
    </cacheField>
    <cacheField name="Excel Entry Date" numFmtId="0">
      <sharedItems containsDate="1" containsMixedTypes="1" minDate="2012-08-30T00:00:00" maxDate="2026-01-28T00:00:00"/>
    </cacheField>
    <cacheField name="Bill No." numFmtId="0">
      <sharedItems containsMixedTypes="1" containsNumber="1" containsInteger="1" minValue="18" maxValue="180029"/>
    </cacheField>
    <cacheField name="Rate" numFmtId="0">
      <sharedItems containsSemiMixedTypes="0" containsString="0" containsNumber="1" minValue="1400" maxValue="650472" count="43">
        <n v="27441"/>
        <n v="425465"/>
        <n v="650472"/>
        <n v="31426"/>
        <n v="53908"/>
        <n v="8931"/>
        <n v="55440"/>
        <n v="34568.231428571402"/>
        <n v="34567.231428571431"/>
        <n v="19305"/>
        <n v="62722"/>
        <n v="135535.88888888888"/>
        <n v="52100"/>
        <n v="13516"/>
        <n v="8201"/>
        <n v="7611"/>
        <n v="50000"/>
        <n v="46611.6"/>
        <n v="24319.771428571428"/>
        <n v="15697.731428571427"/>
        <n v="9617"/>
        <n v="23062"/>
        <n v="2821.375"/>
        <n v="10936"/>
        <n v="6530"/>
        <n v="40800"/>
        <n v="42174"/>
        <n v="44925.227272727272"/>
        <n v="10311.291428571429"/>
        <n v="9405"/>
        <n v="9950"/>
        <n v="6500"/>
        <n v="5000"/>
        <n v="3050"/>
        <n v="5347"/>
        <n v="13500"/>
        <n v="13150"/>
        <n v="1400"/>
        <n v="3600"/>
        <n v="34567"/>
        <n v="5900"/>
        <n v="57454.75"/>
        <n v="20022"/>
      </sharedItems>
    </cacheField>
    <cacheField name="Gross Amount" numFmtId="0">
      <sharedItems containsString="0" containsBlank="1" containsNumber="1" minValue="1400" maxValue="2277603"/>
    </cacheField>
    <cacheField name="Check In" numFmtId="0">
      <sharedItems containsBlank="1"/>
    </cacheField>
    <cacheField name="Website Status" numFmtId="0">
      <sharedItems containsBlank="1"/>
    </cacheField>
    <cacheField name="Supplier Email" numFmtId="0">
      <sharedItems containsBlank="1"/>
    </cacheField>
    <cacheField name="Supplier Contact" numFmtId="0">
      <sharedItems containsBlank="1" containsMixedTypes="1" containsNumber="1" containsInteger="1" minValue="9324349923" maxValue="9930806009"/>
    </cacheField>
    <cacheField name="Supplier Address" numFmtId="0">
      <sharedItems containsBlank="1"/>
    </cacheField>
    <cacheField name="Year" numFmtId="0">
      <sharedItems count="10">
        <s v="2013-14"/>
        <s v="2018-19"/>
        <s v="2019-20"/>
        <s v="2016-17"/>
        <s v="2023-24"/>
        <s v="2017-18"/>
        <s v="2024-25"/>
        <s v="2012-13"/>
        <s v="2020-21"/>
        <s v="2025-26"/>
      </sharedItems>
    </cacheField>
    <cacheField name="Photo Ref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s v="Supply of Street Light with Pole"/>
    <x v="0"/>
    <s v="WTP temghar"/>
    <n v="83"/>
    <s v="Pavanputra Enterprises"/>
    <s v="Temghar"/>
    <s v="Electrical Fitting"/>
    <s v="Electrical Fitting"/>
    <s v="No"/>
    <d v="2014-05-22T00:00:00"/>
    <d v="2026-01-27T00:00:00"/>
    <s v="B-1/56/13-14"/>
    <x v="0"/>
    <n v="2277603"/>
    <m/>
    <m/>
    <s v="NA"/>
    <s v="086554 74162"/>
    <s v="Ground Floor, House No 920, Greenpark Residency, NR Toll Naka, Arjunali Post Padgha, Bhiwandi, Thane, Maharashtra 421101."/>
    <x v="0"/>
    <m/>
  </r>
  <r>
    <x v="1"/>
    <s v="DESIGNING,MANUFACTURING,SUPPLYING and COMMISSIONING 5 TONNE CAPACITY EOT CRANE AT CHLORINE HOUSE and 2 TONNE CAPACITY CHAIN HOIST AT FLASH MIXER,WTP TEMGHAR "/>
    <x v="0"/>
    <s v="Chlorine Room"/>
    <n v="1"/>
    <s v="Suvas Electricals"/>
    <s v="Temghar"/>
    <s v="Plant and Machinery"/>
    <s v="Found"/>
    <s v="No"/>
    <d v="2015-01-13T00:00:00"/>
    <d v="2026-01-19T00:00:00"/>
    <s v="B-1/14/14-15"/>
    <x v="1"/>
    <n v="425465"/>
    <m/>
    <s v="Uploaded"/>
    <s v="NA"/>
    <n v="9867772203"/>
    <s v="Jaydeep Emphasis Unit No. 405, Opp. Punjab National Bank, Near Datta Mandir, Mulund Wagle Check, Thane. "/>
    <x v="1"/>
    <s v="NA"/>
  </r>
  <r>
    <x v="1"/>
    <s v="DESIGNING,MANUFACTURING,SUPPLYING and COMMISSIONING 5 TONNE CAPACITY EOT CRANE AT CHLORINE HOUSE and 2 TONNE CAPACITY CHAIN HOIST AT FLASH MIXER,WTP TEMGHAR "/>
    <x v="0"/>
    <s v="Chlorine Room"/>
    <n v="1"/>
    <s v="Suvas Electricals"/>
    <s v="Temghar"/>
    <s v="Plant and Machinery"/>
    <s v="Found"/>
    <s v="No"/>
    <d v="2019-03-25T00:00:00"/>
    <d v="2026-01-19T00:00:00"/>
    <s v="B-1/17 FOR 2017-18 "/>
    <x v="2"/>
    <n v="650472"/>
    <m/>
    <s v="Uploaded"/>
    <s v="NA"/>
    <n v="9867772203"/>
    <s v="Jaydeep Emphasis Unit No. 405, Opp. Punjab National Bank, Near Datta Mandir, Mulund Wagle Check, Thane. "/>
    <x v="1"/>
    <s v="NA"/>
  </r>
  <r>
    <x v="2"/>
    <s v="3 seater sofa"/>
    <x v="1"/>
    <s v="Rest house(main hall)"/>
    <n v="1"/>
    <s v="Bhagirath Interiors"/>
    <s v="Temghar"/>
    <s v="Furniture and Fixture"/>
    <s v="Found"/>
    <s v="No"/>
    <d v="2019-03-20T00:00:00"/>
    <d v="2026-01-23T00:00:00"/>
    <s v="0162-18/19, 0165-18/19"/>
    <x v="3"/>
    <n v="31426"/>
    <m/>
    <m/>
    <s v="bhagirathinteriors@gmail.com"/>
    <n v="9930806006"/>
    <s v="Manpada junction, Opp Titan Hospital, G.B Road, Thane(W) 400607"/>
    <x v="2"/>
    <s v="3 Seater Sofa"/>
  </r>
  <r>
    <x v="2"/>
    <s v="3 seater sofa"/>
    <x v="1"/>
    <s v="Rest house(main hall)"/>
    <n v="1"/>
    <s v="Bhagirath Interiors"/>
    <s v="Temghar"/>
    <s v="Furniture and Fixture"/>
    <s v="Found"/>
    <s v="No"/>
    <d v="2019-03-20T00:00:00"/>
    <d v="2026-01-23T00:00:00"/>
    <s v="0162-18/19, 0165-18/19"/>
    <x v="3"/>
    <n v="31426"/>
    <m/>
    <m/>
    <s v="bhagirathinteriors@gmail.com"/>
    <n v="9930806006"/>
    <s v="Manpada junction, Opp Titan Hospital, G.B Road, Thane(W) 400607"/>
    <x v="2"/>
    <s v="3 Seater Sofa"/>
  </r>
  <r>
    <x v="2"/>
    <s v="3 seater sofa"/>
    <x v="1"/>
    <s v="Rest house(main hall)"/>
    <n v="1"/>
    <s v="Bhagirath Interiors"/>
    <s v="Temghar"/>
    <s v="Furniture and Fixture"/>
    <s v="Found"/>
    <s v="No"/>
    <d v="2019-03-20T00:00:00"/>
    <d v="2026-01-23T00:00:00"/>
    <s v="0162-18/19, 0165-18/19"/>
    <x v="3"/>
    <n v="31426"/>
    <m/>
    <m/>
    <s v="bhagirathinteriors@gmail.com"/>
    <n v="9930806006"/>
    <s v="Manpada junction, Opp Titan Hospital, G.B Road, Thane(W) 400607"/>
    <x v="2"/>
    <s v="3 Seater Sofa"/>
  </r>
  <r>
    <x v="3"/>
    <s v="Glass dining table , 6feet long and 2.5 feet width"/>
    <x v="1"/>
    <s v="Rest house(main hall)"/>
    <n v="1"/>
    <s v="Bhagirath Interiors"/>
    <s v="Temghar"/>
    <s v="Furniture and Fixture"/>
    <s v="Found"/>
    <s v="No"/>
    <d v="2019-03-20T00:00:00"/>
    <d v="2026-01-23T00:00:00"/>
    <s v="0162-18/19, 0165-18/19"/>
    <x v="4"/>
    <n v="53908"/>
    <m/>
    <m/>
    <s v="bhagirathinteriors@gmail.com"/>
    <n v="9930806006"/>
    <s v="Manpada junction, Opp Titan Hospital, G.B Road, Thane(W) 400607"/>
    <x v="3"/>
    <s v="Dining table"/>
  </r>
  <r>
    <x v="4"/>
    <s v="wooden chairs for dining table"/>
    <x v="1"/>
    <s v="Rest house(main hall)"/>
    <n v="8"/>
    <s v="Bhagirath Interiors"/>
    <s v="Temghar"/>
    <s v="Furniture and Fixture"/>
    <s v="Found"/>
    <s v="No"/>
    <d v="2019-03-20T00:00:00"/>
    <d v="2026-01-23T00:00:00"/>
    <s v="0162-18/19, 0165-18/19"/>
    <x v="5"/>
    <n v="71448"/>
    <m/>
    <m/>
    <s v="bhagirathinteriors@gmail.com"/>
    <n v="9930806006"/>
    <s v="Manpada junction, Opp Titan Hospital, G.B Road, Thane(W) 400607"/>
    <x v="2"/>
    <s v="wooden chairs for dining table"/>
  </r>
  <r>
    <x v="5"/>
    <s v="Epson Projector"/>
    <x v="2"/>
    <s v="Rest house(main hall)"/>
    <n v="1"/>
    <s v="Green apple compunet"/>
    <s v="Temghar"/>
    <s v="Computer"/>
    <s v="Found"/>
    <s v="No"/>
    <d v="2023-09-25T00:00:00"/>
    <d v="2026-01-10T00:00:00"/>
    <s v="GAC-6000/2023-24"/>
    <x v="6"/>
    <n v="55440"/>
    <m/>
    <m/>
    <s v="computechgreen@gmail.com"/>
    <s v="9022260222/9594248270"/>
    <s v="Shop No.1,2 &amp; 3, Gajanan Commercial Complex, Datta Mandir RD, Thane west 400601"/>
    <x v="4"/>
    <s v="Epson Projector"/>
  </r>
  <r>
    <x v="6"/>
    <s v="5.11 feet length, 2.9 feet width"/>
    <x v="3"/>
    <s v="Rest house(main hall)"/>
    <n v="1"/>
    <s v="Classic Enterprises"/>
    <s v="Temghar"/>
    <s v="Furniture and Fixture"/>
    <s v="Found"/>
    <s v="No"/>
    <d v="2019-05-29T00:00:00"/>
    <d v="2026-01-20T00:00:00"/>
    <s v="007/2019-20"/>
    <x v="7"/>
    <n v="34568.231428571402"/>
    <m/>
    <s v="Updated"/>
    <s v="NA"/>
    <s v="NA"/>
    <s v="NA"/>
    <x v="2"/>
    <s v="NA"/>
  </r>
  <r>
    <x v="6"/>
    <s v="5.11 feet length, 2.9 feet width"/>
    <x v="3"/>
    <s v="Rest house(main hall)"/>
    <n v="1"/>
    <s v="Classic Enterprises"/>
    <s v="Temghar"/>
    <s v="Furniture and Fixture"/>
    <s v="Found"/>
    <s v="No"/>
    <d v="2019-05-29T00:00:00"/>
    <d v="2026-01-20T00:00:00"/>
    <s v="007/2019-20"/>
    <x v="7"/>
    <n v="34568.231428571402"/>
    <m/>
    <s v="Updated"/>
    <s v="NA"/>
    <s v="NA"/>
    <s v="NA"/>
    <x v="2"/>
    <s v="NA"/>
  </r>
  <r>
    <x v="6"/>
    <s v="5.11 feet length, 2.9 feet width"/>
    <x v="3"/>
    <s v="Rest house(main hall)"/>
    <n v="1"/>
    <s v="Classic Enterprises"/>
    <s v="Temghar"/>
    <s v="Furniture and Fixture"/>
    <s v="Found"/>
    <s v="No"/>
    <d v="2019-05-29T00:00:00"/>
    <d v="2026-01-20T00:00:00"/>
    <s v="007/2019-20"/>
    <x v="8"/>
    <n v="34567.231428571431"/>
    <m/>
    <s v="Updated"/>
    <s v="NA"/>
    <s v="NA"/>
    <s v="NA"/>
    <x v="2"/>
    <s v="NA"/>
  </r>
  <r>
    <x v="7"/>
    <s v="Artis BT600 multimedia trolley speaker"/>
    <x v="4"/>
    <s v="Rest house(main hall)"/>
    <n v="1"/>
    <s v="Green apple compunet"/>
    <s v="Temghar"/>
    <s v="Computer"/>
    <s v="Found"/>
    <s v="No"/>
    <d v="2023-12-20T00:00:00"/>
    <d v="2026-01-10T00:00:00"/>
    <s v="GAC-9044/2023-24"/>
    <x v="9"/>
    <n v="19305"/>
    <m/>
    <m/>
    <s v="computechgreen@gmail.com"/>
    <s v="9022260222/9594248270"/>
    <s v="Shop No.1,2 &amp; 3, Gajanan Commercial Complex, Datta Mandir RD, Thane west 400601"/>
    <x v="4"/>
    <s v="NA"/>
  </r>
  <r>
    <x v="8"/>
    <s v="wooden Cupboard 2 Door (6.0 feet length, 2.9 feet width)"/>
    <x v="1"/>
    <s v="Rest house(Room.no.1)"/>
    <n v="1"/>
    <s v="Classic Enterprises"/>
    <s v="Temghar"/>
    <s v="Furniture and Fixture"/>
    <s v="Found"/>
    <s v="No"/>
    <d v="2019-05-29T00:00:00"/>
    <d v="2026-01-23T00:00:00"/>
    <s v="007/2019-20"/>
    <x v="7"/>
    <n v="34568.231428571402"/>
    <m/>
    <m/>
    <m/>
    <m/>
    <m/>
    <x v="2"/>
    <s v="Wooden cupboard"/>
  </r>
  <r>
    <x v="9"/>
    <s v="7.2 feet length, 5.2 feet width"/>
    <x v="1"/>
    <s v="Rest house(Room.no.1)"/>
    <n v="1"/>
    <s v="Bhagirath Interiors"/>
    <s v="Temghar"/>
    <s v="Furniture and Fixture"/>
    <s v="Found"/>
    <s v="No"/>
    <d v="2019-03-20T00:00:00"/>
    <d v="2026-01-23T00:00:00"/>
    <s v="0162-18/19, 0165-18/19"/>
    <x v="10"/>
    <n v="62722"/>
    <m/>
    <m/>
    <s v="bhagirathinteriors@gmail.com"/>
    <n v="9930806006"/>
    <s v="Manpada junction, Opp Titan Hospital, G.B Road, Thane(W) 400607"/>
    <x v="2"/>
    <s v="Wooden Bed"/>
  </r>
  <r>
    <x v="2"/>
    <s v="Supply of 3 seater sofa brown color Provided at rest House (Room No.2) "/>
    <x v="1"/>
    <s v="Rest house(Room.no.2)"/>
    <n v="1"/>
    <s v="Bhagirath Interiors"/>
    <s v="Temghar"/>
    <s v="office Equipment"/>
    <s v="Found"/>
    <s v="No"/>
    <d v="2019-03-20T00:00:00"/>
    <d v="2026-01-20T00:00:00"/>
    <s v="0162-18/19, 0165-18/19"/>
    <x v="3"/>
    <n v="31426"/>
    <m/>
    <s v="Uploaded"/>
    <s v="bhagirathinteriors@gmail.com"/>
    <n v="9930806006"/>
    <s v="Manpada junction, Opp Titan Hospital, G.B Road, Thane(W) 400607"/>
    <x v="2"/>
    <s v="NA"/>
  </r>
  <r>
    <x v="10"/>
    <s v="7.2 feet length, 5.2 feet width"/>
    <x v="1"/>
    <s v="Rest house(Room.no.2)"/>
    <n v="1"/>
    <s v="Bhagirath Interiors"/>
    <s v="Temghar"/>
    <s v="Furniture and Fixture"/>
    <s v="Found"/>
    <s v="No"/>
    <d v="2019-03-20T00:00:00"/>
    <d v="2026-01-23T00:00:00"/>
    <s v="0162-18/19, 0165-18/19"/>
    <x v="10"/>
    <n v="62722"/>
    <m/>
    <m/>
    <s v="bhagirathinteriors@gmail.com"/>
    <n v="9930806006"/>
    <s v="Manpada junction, Opp Titan Hospital, G.B Road, Thane(W) 400607"/>
    <x v="2"/>
    <s v="Wooden Bed"/>
  </r>
  <r>
    <x v="10"/>
    <s v="7.2 feet length, 5.2 feet width"/>
    <x v="1"/>
    <s v="Rest house(Room.no.3)"/>
    <n v="1"/>
    <s v="Bhagirath Interiors"/>
    <s v="Temghar"/>
    <s v="Furniture and Fixture"/>
    <s v="Found"/>
    <s v="No"/>
    <d v="2019-03-20T00:00:00"/>
    <d v="2026-01-23T00:00:00"/>
    <s v="0162-18/19, 0165-18/19"/>
    <x v="10"/>
    <n v="62722"/>
    <m/>
    <m/>
    <s v="bhagirathinteriors@gmail.com"/>
    <n v="9930806006"/>
    <s v="Manpada junction, Opp Titan Hospital, G.B Road, Thane(W) 400607"/>
    <x v="2"/>
    <s v="wooden bed "/>
  </r>
  <r>
    <x v="2"/>
    <s v="Supply of 3 seater sofa brown color Provided at rest House (Room No.3) "/>
    <x v="1"/>
    <s v="Rest house(Room.no.3)"/>
    <n v="1"/>
    <s v="Bhagirath Interiors"/>
    <s v="Temghar"/>
    <s v="Furniture and Fixture"/>
    <s v="Found"/>
    <s v="No"/>
    <d v="2019-03-20T00:00:00"/>
    <d v="2026-01-20T00:00:00"/>
    <s v="0162-18/19, 0165-18/19"/>
    <x v="3"/>
    <n v="31426"/>
    <m/>
    <s v="Uploaded"/>
    <s v="bhagirathinteriors@gmail.com"/>
    <n v="9930806006"/>
    <s v="Manpada junction, Opp Titan Hospital, G.B Road, Thane(W) 400607"/>
    <x v="2"/>
    <s v="wooden desk"/>
  </r>
  <r>
    <x v="11"/>
    <s v="50-60 HZ, 400W,sr no.0044774"/>
    <x v="5"/>
    <s v="Rest House Area"/>
    <n v="2"/>
    <s v="M/S SACHIN RASAL"/>
    <s v="Temghar"/>
    <s v="office Equipment"/>
    <s v="Found"/>
    <s v="No"/>
    <d v="2017-10-25T00:00:00"/>
    <d v="2026-01-23T00:00:00"/>
    <s v="D-34/2017-18"/>
    <x v="11"/>
    <n v="271071.77777777775"/>
    <m/>
    <m/>
    <s v="NA"/>
    <s v="NA"/>
    <s v="NA"/>
    <x v="5"/>
    <s v="NA"/>
  </r>
  <r>
    <x v="12"/>
    <s v="Supply of All in one Computer of Lenovo NEO 30a"/>
    <x v="6"/>
    <s v="(S.E civil) Cabin"/>
    <n v="1"/>
    <s v="M/S SACHIN RASAL"/>
    <s v="Temghar"/>
    <s v="Computer"/>
    <s v="Found"/>
    <s v="No"/>
    <d v="2024-07-22T00:00:00"/>
    <d v="2026-01-19T00:00:00"/>
    <s v="GAC-003800/24-25"/>
    <x v="12"/>
    <n v="52100"/>
    <m/>
    <s v="Uploaded"/>
    <s v="computechgreen@gmail.com"/>
    <s v="9022260222/9594248270"/>
    <s v="Shop No.1,2 &amp; 3, Gajanan Commercial Complex, Datta Mandir RD, Thane west 400601"/>
    <x v="6"/>
    <s v="Lenovo Desktop"/>
  </r>
  <r>
    <x v="13"/>
    <s v="HP Laserjet P1108 Printer"/>
    <x v="7"/>
    <s v="(S.E civil) Cabin"/>
    <n v="1"/>
    <s v="Green apple compunet"/>
    <s v="Temghar"/>
    <s v="Computer"/>
    <s v="Found"/>
    <s v="No"/>
    <d v="2023-09-22T00:00:00"/>
    <d v="2026-01-10T00:00:00"/>
    <s v="GAC-5874/2023-24"/>
    <x v="13"/>
    <n v="13516"/>
    <m/>
    <s v="Updated"/>
    <s v="computechgreen@gmail.com"/>
    <s v="9022260222/9594248270"/>
    <s v="Shop No.1,2 &amp; 3, Gajanan Commercial Complex, Datta Mandir RD, Thane west 400601"/>
    <x v="4"/>
    <s v="HP Printer"/>
  </r>
  <r>
    <x v="14"/>
    <s v="Supply of Mid Back chair "/>
    <x v="8"/>
    <s v="(S.E civil) Cabin"/>
    <n v="1"/>
    <s v="Bhagirath Interiors"/>
    <s v="Temghar"/>
    <s v="Furniture and Fixture"/>
    <s v="Found"/>
    <s v="No"/>
    <d v="2023-02-11T00:00:00"/>
    <d v="2026-01-10T00:00:00"/>
    <s v="11-23/24"/>
    <x v="14"/>
    <n v="8201"/>
    <s v="Arpit Santosh Agarwal"/>
    <m/>
    <s v="bhagirathinteriors@gmail.com"/>
    <n v="9930806009"/>
    <s v="Manpada junction, Opp Titan Hospital, G.B Road, Thane(W) 400610"/>
    <x v="4"/>
    <s v="Office Chair"/>
  </r>
  <r>
    <x v="15"/>
    <s v="Orbit Fix Legged Mesh chair"/>
    <x v="1"/>
    <s v="(S.E civil) Cabin"/>
    <n v="3"/>
    <s v="Bhagirath Interiors"/>
    <s v="Temghar"/>
    <s v="Furniture and Fixture"/>
    <s v="Found"/>
    <s v="No"/>
    <d v="2023-02-11T00:00:00"/>
    <d v="2026-01-10T00:00:00"/>
    <s v="11-23/24"/>
    <x v="15"/>
    <n v="22833"/>
    <s v="Arpit Santosh Agarwal"/>
    <m/>
    <s v="bhagirathinteriors@gmail.com"/>
    <n v="9930806009"/>
    <s v="Manpada junction, Opp Titan Hospital, G.B Road, Thane(W) 400610"/>
    <x v="4"/>
    <s v="Visitng Cushion Chair"/>
  </r>
  <r>
    <x v="16"/>
    <s v="Supply of HP 15 S-FR2515TU "/>
    <x v="7"/>
    <s v="(S.E Elec) Office"/>
    <n v="1"/>
    <s v="Global Enterprises "/>
    <s v="Temghar"/>
    <s v="Computer"/>
    <s v="Found"/>
    <s v="No"/>
    <d v="2023-08-13T00:00:00"/>
    <d v="2026-01-10T00:00:00"/>
    <n v="104"/>
    <x v="16"/>
    <n v="50000"/>
    <s v="Dinesh Laskhare"/>
    <m/>
    <s v="globalentp13@gmail.com"/>
    <n v="9324349923"/>
    <s v="09, Risbud house siddhivinayak shopping center, opp bata showroom near jambhali naka station road, Thane (W) 400601"/>
    <x v="4"/>
    <s v="Laptop"/>
  </r>
  <r>
    <x v="14"/>
    <s v="Supply of Mid Back chair "/>
    <x v="8"/>
    <s v="(S.E Elec) Office"/>
    <n v="1"/>
    <s v="Bhagirath Interiors"/>
    <s v="Temghar"/>
    <s v="Furniture and Fixture"/>
    <s v="Found"/>
    <s v="No"/>
    <d v="2023-02-11T00:00:00"/>
    <d v="2026-01-10T00:00:00"/>
    <s v="11-23/24"/>
    <x v="14"/>
    <n v="8201"/>
    <s v="Dinesh Laskhare"/>
    <m/>
    <s v="bhagirathinteriors@gmail.com"/>
    <n v="9930806009"/>
    <s v="Manpada junction, Opp Titan Hospital, G.B Road, Thane(W) 400610"/>
    <x v="4"/>
    <s v="Office Chair"/>
  </r>
  <r>
    <x v="15"/>
    <s v="Orbit Fix Legged Mesh chair"/>
    <x v="1"/>
    <s v="(S.E Elec) Office"/>
    <n v="4"/>
    <s v="Bhagirath Interiors"/>
    <s v="Temghar"/>
    <s v="Furniture and Fixture"/>
    <s v="Found"/>
    <s v="No"/>
    <d v="2023-02-11T00:00:00"/>
    <d v="2026-01-10T00:00:00"/>
    <s v="11-23/24"/>
    <x v="15"/>
    <n v="30444"/>
    <m/>
    <m/>
    <s v="bhagirathinteriors@gmail.com"/>
    <n v="9930806009"/>
    <s v="Manpada junction, Opp Titan Hospital, G.B Road, Thane(W) 400610"/>
    <x v="4"/>
    <s v="Visitng Cushion Chair"/>
  </r>
  <r>
    <x v="12"/>
    <s v="Supply of All in one Computer of Lenovo NEO 30a"/>
    <x v="9"/>
    <s v="Deputy Engineer Cabin"/>
    <n v="1"/>
    <s v="Green apple compunet"/>
    <s v="Temghar"/>
    <s v="Computer"/>
    <s v="Found"/>
    <s v="No"/>
    <d v="2024-07-22T00:00:00"/>
    <d v="2026-01-19T00:00:00"/>
    <s v="GAC-003800/24-25"/>
    <x v="12"/>
    <n v="52100"/>
    <m/>
    <s v="Uploaded"/>
    <s v="computechgreen@gmail.com"/>
    <s v="9022260222/9594248270"/>
    <s v="Shop No.1,2 &amp; 3, Gajanan Commercial Complex, Datta Mandir RD, Thane west 400601"/>
    <x v="6"/>
    <s v="Desktop"/>
  </r>
  <r>
    <x v="17"/>
    <s v="BLUESTAR SPLIT AC ,1.5 TON"/>
    <x v="10"/>
    <s v="Deputy Engineer Cabin"/>
    <n v="1"/>
    <s v="Mana Electric and Engineering Services"/>
    <s v="Temghar"/>
    <s v="Office Equipement"/>
    <s v="Found"/>
    <s v="No"/>
    <d v="2016-11-08T00:00:00"/>
    <d v="2026-01-23T00:00:00"/>
    <s v="B1-23/16-17"/>
    <x v="17"/>
    <n v="46611.6"/>
    <m/>
    <m/>
    <s v="adarsh@madrecha.com"/>
    <s v="0251 269 3222"/>
    <s v="HEEL NEST BUILDING GROUND FLOOR KATRAP ROAD BADLAPUR Maharashtra"/>
    <x v="3"/>
    <s v="Air conditioner "/>
  </r>
  <r>
    <x v="14"/>
    <s v="Supply of Mid Back chair "/>
    <x v="8"/>
    <s v="Deputy Engineer Cabin"/>
    <n v="1"/>
    <s v="Bhagirath Interiors"/>
    <s v="Temghar"/>
    <s v="Furniture and Fixture"/>
    <s v="Found"/>
    <s v="No"/>
    <d v="2023-02-11T00:00:00"/>
    <d v="2026-01-10T00:00:00"/>
    <s v="11-23/24"/>
    <x v="14"/>
    <n v="8201"/>
    <m/>
    <m/>
    <s v="bhagirathinteriors@gmail.com"/>
    <n v="9930806009"/>
    <s v="Manpada junction, Opp Titan Hospital, G.B Road, Thane(W) 400610"/>
    <x v="4"/>
    <s v="Office Chair"/>
  </r>
  <r>
    <x v="15"/>
    <s v="Orbit Fix Legged Mesh chair"/>
    <x v="1"/>
    <s v="Deputy Engineer Cabin"/>
    <n v="6"/>
    <s v="Bhagirath Interiors"/>
    <s v="Temghar"/>
    <s v="Furniture and Fixture"/>
    <s v="Found"/>
    <s v="No"/>
    <d v="2023-02-11T00:00:00"/>
    <d v="2026-01-10T00:00:00"/>
    <s v="11-23/24"/>
    <x v="15"/>
    <n v="45666"/>
    <m/>
    <m/>
    <s v="bhagirathinteriors@gmail.com"/>
    <n v="9930806009"/>
    <s v="Manpada junction, Opp Titan Hospital, G.B Road, Thane(W) 400610"/>
    <x v="4"/>
    <s v="Visitng Cushion Chair"/>
  </r>
  <r>
    <x v="2"/>
    <s v="2 seater sofa"/>
    <x v="1"/>
    <s v="Office hall"/>
    <n v="1"/>
    <s v="Classic Enterprises"/>
    <s v="Temghar"/>
    <s v="Furniture and Fixture"/>
    <s v="Found"/>
    <s v="No"/>
    <d v="2019-05-29T00:00:00"/>
    <d v="2026-01-20T00:00:00"/>
    <s v="007/2019-20"/>
    <x v="18"/>
    <n v="24319.771428571428"/>
    <m/>
    <s v="Updated"/>
    <s v="NA"/>
    <s v="NA"/>
    <s v="NA"/>
    <x v="2"/>
    <s v="sofa 2 seater Brown Color"/>
  </r>
  <r>
    <x v="2"/>
    <s v="2 seater sofa"/>
    <x v="1"/>
    <s v="Office hall"/>
    <n v="1"/>
    <s v="Classic Enterprises"/>
    <s v="Temghar"/>
    <s v="Furniture and Fixture"/>
    <s v="Found"/>
    <s v="No"/>
    <d v="2019-05-29T00:00:00"/>
    <d v="2026-01-20T00:00:00"/>
    <s v="007/2019-20"/>
    <x v="18"/>
    <n v="24319.771428571428"/>
    <m/>
    <s v="Updated"/>
    <s v="NA"/>
    <s v="NA"/>
    <s v="NA"/>
    <x v="2"/>
    <s v="sofa 2 seater Brown Color"/>
  </r>
  <r>
    <x v="18"/>
    <s v="glass table"/>
    <x v="1"/>
    <s v="Office hall"/>
    <n v="1"/>
    <s v="Classic Enterprises"/>
    <s v="Temghar"/>
    <s v="Furniture and Fixture"/>
    <s v="Found"/>
    <s v="No"/>
    <d v="2019-05-29T00:00:00"/>
    <d v="2026-01-23T00:00:00"/>
    <s v="007/2019-20"/>
    <x v="19"/>
    <n v="15697.731428571427"/>
    <m/>
    <m/>
    <s v="NA"/>
    <s v="NA"/>
    <s v="NA"/>
    <x v="2"/>
    <s v="Glass Tea Poy Table"/>
  </r>
  <r>
    <x v="13"/>
    <s v="HP Laserjet P1108 Printer"/>
    <x v="7"/>
    <s v="Clerk Office"/>
    <n v="1"/>
    <s v="Green apple compunet"/>
    <s v="Temghar"/>
    <s v="Computer"/>
    <s v="Found"/>
    <s v="No"/>
    <d v="2023-09-22T00:00:00"/>
    <d v="2026-01-10T00:00:00"/>
    <s v="GAC-5874/2023-24"/>
    <x v="13"/>
    <n v="13516"/>
    <m/>
    <s v="Updated"/>
    <s v="computechgreen@gmail.com"/>
    <s v="9022260222/9594248270"/>
    <s v="Shop No.1,2 &amp; 3, Gajanan Commercial Complex, Datta Mandir RD, Thane west 400601"/>
    <x v="4"/>
    <s v="Printer"/>
  </r>
  <r>
    <x v="19"/>
    <s v="5.11 feet length, 1.6 feet width"/>
    <x v="1"/>
    <s v="Clerk Office"/>
    <n v="1"/>
    <s v="Bhagirath Interiors"/>
    <s v="Temghar"/>
    <s v="Furniture and Fixture"/>
    <s v="Found"/>
    <s v="No"/>
    <d v="2023-02-11T00:00:00"/>
    <d v="2026-01-10T00:00:00"/>
    <s v="11-23/24"/>
    <x v="20"/>
    <n v="9617"/>
    <m/>
    <m/>
    <s v="bhagirathinteriors@gmail.com"/>
    <n v="9930806009"/>
    <s v="Manpada junction, Opp Titan Hospital, G.B Road, Thane(W) 400610"/>
    <x v="4"/>
    <s v="Large Rectangle Table"/>
  </r>
  <r>
    <x v="14"/>
    <s v="Supply of Mid Back chair "/>
    <x v="8"/>
    <s v="Clerk Office"/>
    <n v="1"/>
    <s v="Bhagirath Interiors"/>
    <s v="Temghar"/>
    <s v="Furniture and Fixture"/>
    <s v="Found"/>
    <s v="No"/>
    <d v="2023-02-11T00:00:00"/>
    <d v="2026-01-10T00:00:00"/>
    <s v="11-23/24"/>
    <x v="14"/>
    <n v="8201"/>
    <m/>
    <m/>
    <m/>
    <m/>
    <m/>
    <x v="4"/>
    <s v="Office Chair"/>
  </r>
  <r>
    <x v="15"/>
    <s v="Orbit Fix Legged Mesh chair"/>
    <x v="8"/>
    <s v="Clerk Office"/>
    <n v="3"/>
    <s v="Bhagirath Interiors"/>
    <s v="Temghar"/>
    <s v="Furniture and Fixture"/>
    <s v="Found"/>
    <s v="No"/>
    <d v="2023-02-11T00:00:00"/>
    <d v="2026-01-10T00:00:00"/>
    <s v="11-23/24"/>
    <x v="15"/>
    <n v="22833"/>
    <m/>
    <m/>
    <m/>
    <m/>
    <m/>
    <x v="4"/>
    <s v="Visitng Cushion Chair"/>
  </r>
  <r>
    <x v="20"/>
    <s v="Biometric machine"/>
    <x v="11"/>
    <s v="Telephone Operator Cabin"/>
    <n v="2"/>
    <s v="Tutis Technologics Ltd."/>
    <s v="Temghar"/>
    <s v="Computer"/>
    <s v="Found"/>
    <s v="No"/>
    <d v="2012-08-14T00:00:00"/>
    <d v="2026-01-20T00:00:00"/>
    <n v="1439"/>
    <x v="21"/>
    <n v="46124"/>
    <m/>
    <s v="Found  "/>
    <m/>
    <m/>
    <m/>
    <x v="7"/>
    <s v="Biometric machine"/>
  </r>
  <r>
    <x v="14"/>
    <s v="Supply of Mid Back chair "/>
    <x v="8"/>
    <s v="Telephone Operator Cabin"/>
    <n v="1"/>
    <s v="Bhagirath Interiors"/>
    <s v="Temghar"/>
    <s v="Furniture and Fixture"/>
    <s v="Found"/>
    <s v="No"/>
    <d v="2023-02-11T00:00:00"/>
    <d v="2026-01-10T00:00:00"/>
    <s v="11-23/24"/>
    <x v="14"/>
    <n v="8201"/>
    <m/>
    <m/>
    <m/>
    <m/>
    <m/>
    <x v="4"/>
    <s v="NA"/>
  </r>
  <r>
    <x v="21"/>
    <s v="Cushion Chair"/>
    <x v="1"/>
    <s v="Telephone Operator Cabin"/>
    <n v="1"/>
    <s v="Bhagirath Interiors"/>
    <s v="Temghar"/>
    <s v="Furniture and Fixture"/>
    <s v="Found"/>
    <s v="No"/>
    <d v="2023-02-11T00:00:00"/>
    <d v="2026-01-10T00:00:00"/>
    <s v="11-23/24"/>
    <x v="15"/>
    <n v="7611"/>
    <m/>
    <m/>
    <m/>
    <m/>
    <m/>
    <x v="4"/>
    <s v="NA"/>
  </r>
  <r>
    <x v="22"/>
    <s v="rectangle table"/>
    <x v="1"/>
    <s v="Passage"/>
    <n v="1"/>
    <s v="M.S.S.I.D.C"/>
    <s v="Temghar"/>
    <s v="Furniture and Fixture"/>
    <s v="Found"/>
    <s v="No"/>
    <d v="2013-12-05T00:00:00"/>
    <s v="19-01-20-26"/>
    <n v="62"/>
    <x v="22"/>
    <n v="2821.375"/>
    <m/>
    <m/>
    <s v="acs.mssidc@maharashtra.gov.in"/>
    <s v="022-22611121"/>
    <s v="NA"/>
    <x v="0"/>
    <s v="rectangle table"/>
  </r>
  <r>
    <x v="23"/>
    <s v="18 locker cupboard"/>
    <x v="1"/>
    <s v="Passage"/>
    <n v="1"/>
    <s v="M.S.S.I.D.C."/>
    <s v="Temghar"/>
    <s v="Furniture and Fixture"/>
    <s v="Found"/>
    <s v="No"/>
    <d v="2016-09-19T00:00:00"/>
    <d v="2026-01-23T00:00:00"/>
    <s v="-"/>
    <x v="23"/>
    <n v="10936"/>
    <m/>
    <m/>
    <s v="acs.mssidc@maharashtra.gov.in"/>
    <s v="022-22611121"/>
    <s v="NA"/>
    <x v="3"/>
    <s v="18 locker cupboard"/>
  </r>
  <r>
    <x v="24"/>
    <s v="5.11 feet length, 2.5 feet width"/>
    <x v="1"/>
    <s v="Chemist lab"/>
    <n v="1"/>
    <s v="NA"/>
    <s v="Temghar"/>
    <s v="Furniture and Fixture"/>
    <s v="Found"/>
    <s v="No"/>
    <d v="2020-08-12T00:00:00"/>
    <d v="2026-01-19T00:00:00"/>
    <n v="2602"/>
    <x v="24"/>
    <n v="6530"/>
    <m/>
    <m/>
    <s v="acs.mssidc@maharashtra.gov.in"/>
    <s v="022-22611121"/>
    <s v="NA"/>
    <x v="8"/>
    <s v="Table Small Size"/>
  </r>
  <r>
    <x v="12"/>
    <s v="LG Monitor and Zebbronics CPU"/>
    <x v="12"/>
    <s v="Chemist lab"/>
    <n v="1"/>
    <s v="NA"/>
    <s v="Temghar"/>
    <s v="Computer"/>
    <s v="Found"/>
    <s v="No"/>
    <d v="2019-07-30T00:00:00"/>
    <d v="2026-01-19T00:00:00"/>
    <s v="AE/07/19/002"/>
    <x v="25"/>
    <n v="40800"/>
    <m/>
    <s v="Updated"/>
    <m/>
    <m/>
    <m/>
    <x v="2"/>
    <s v="LG Monitor and Zebbronics CPU"/>
  </r>
  <r>
    <x v="17"/>
    <s v="MITSUBISHI Airconditioner (3-star)"/>
    <x v="13"/>
    <s v="Chemist lab"/>
    <n v="1"/>
    <s v="Global Enterprise"/>
    <s v="Temghar"/>
    <s v="Office Equipement"/>
    <s v="Found"/>
    <s v="No"/>
    <d v="2024-05-15T00:00:00"/>
    <d v="2026-01-17T00:00:00"/>
    <n v="18"/>
    <x v="26"/>
    <n v="42174"/>
    <m/>
    <s v="Uploaded"/>
    <m/>
    <m/>
    <m/>
    <x v="6"/>
    <s v="Air conditioner Mitsibishi"/>
  </r>
  <r>
    <x v="14"/>
    <s v="Supply of Mid Back chair "/>
    <x v="8"/>
    <s v="Chemist lab"/>
    <n v="1"/>
    <s v="Bhagirath Interiors"/>
    <s v="Temghar"/>
    <s v="Office Equipement"/>
    <s v="Found"/>
    <s v="No"/>
    <d v="2023-02-11T00:00:00"/>
    <d v="2026-01-10T00:00:00"/>
    <s v="11-23/24"/>
    <x v="14"/>
    <n v="8201"/>
    <m/>
    <m/>
    <m/>
    <m/>
    <m/>
    <x v="4"/>
    <s v="Office Chair"/>
  </r>
  <r>
    <x v="15"/>
    <s v="Orbit Fix Legged Mesh chair"/>
    <x v="8"/>
    <s v="Chemist lab"/>
    <n v="1"/>
    <s v="Bhagirath Interiors"/>
    <s v="Temghar"/>
    <s v="Furniture and Fixture"/>
    <s v="Found"/>
    <s v="No"/>
    <d v="2023-02-11T00:00:00"/>
    <d v="2026-01-10T00:00:00"/>
    <s v="11-23/24"/>
    <x v="15"/>
    <n v="7611"/>
    <m/>
    <m/>
    <m/>
    <m/>
    <m/>
    <x v="4"/>
    <s v="Visitng Cushion Chair"/>
  </r>
  <r>
    <x v="25"/>
    <s v="FILTRATION SYSTEM"/>
    <x v="0"/>
    <s v="Filter room"/>
    <n v="22"/>
    <s v="M/s Sai Abhimanu MKSS Ltd"/>
    <s v="Temghar"/>
    <s v="Plant and Machinery"/>
    <s v="Found"/>
    <s v="No"/>
    <d v="2012-09-12T00:00:00"/>
    <d v="2012-08-30T00:00:00"/>
    <s v="B-1/37/20/12-13"/>
    <x v="27"/>
    <n v="988355"/>
    <m/>
    <s v="Updated"/>
    <s v="NA"/>
    <s v="NA"/>
    <s v="NA"/>
    <x v="7"/>
    <s v="Automatic Filteration System"/>
  </r>
  <r>
    <x v="2"/>
    <s v="Supply of 3 seater sofa brown color Provided at rest House (Room No.4) "/>
    <x v="1"/>
    <s v="Rest house(Room.no.4)"/>
    <n v="1"/>
    <s v="Bhagirath Interiors"/>
    <s v="Temghar"/>
    <s v="Furniture and Fixture"/>
    <s v="Found"/>
    <s v="No"/>
    <d v="2019-03-20T00:00:00"/>
    <d v="2026-01-20T00:00:00"/>
    <s v="0162-18/19, 0165-18/19"/>
    <x v="3"/>
    <n v="31426"/>
    <m/>
    <s v="Uploaded"/>
    <s v="bhagirathinteriors@gmail.com"/>
    <n v="9930806006"/>
    <s v="Manpada junction, Opp Titan Hospital, G.B Road, Thane(W) 400607"/>
    <x v="2"/>
    <s v="NA"/>
  </r>
  <r>
    <x v="26"/>
    <s v="Glass Square shape tea poy"/>
    <x v="1"/>
    <s v="Rest house(Room.no.4)"/>
    <n v="1"/>
    <s v="Classic Enterprises"/>
    <s v="Temghar"/>
    <s v="Furniture and Fixture"/>
    <s v="Found"/>
    <s v="No"/>
    <d v="2019-05-29T00:00:00"/>
    <d v="2026-01-23T00:00:00"/>
    <s v="007/2019-20"/>
    <x v="28"/>
    <n v="10311.291428571429"/>
    <m/>
    <s v="NA"/>
    <s v="NA"/>
    <s v="NA"/>
    <s v="NA"/>
    <x v="2"/>
    <s v="Glass Square shape tea poy"/>
  </r>
  <r>
    <x v="27"/>
    <s v="Brown Wooden Drawer "/>
    <x v="1"/>
    <s v="Rest house(Room.no.1)"/>
    <n v="1"/>
    <s v="Bhagirath Interiors"/>
    <s v="Temghar"/>
    <s v="Furniture and Fixture"/>
    <s v="Found"/>
    <s v="No"/>
    <d v="2019-03-20T00:00:00"/>
    <d v="2026-01-23T00:00:00"/>
    <s v="0162-18/19, 0165-18/19"/>
    <x v="29"/>
    <n v="9405"/>
    <m/>
    <m/>
    <s v="bhagirathinteriors@gmail.com"/>
    <n v="9930806006"/>
    <s v="Manpada junction, Opp Titan Hospital, G.B Road, Thane(W) 400607"/>
    <x v="2"/>
    <s v="NA"/>
  </r>
  <r>
    <x v="27"/>
    <s v="Brown Wooden Drawer "/>
    <x v="1"/>
    <s v="Rest house(Room.no.2)"/>
    <n v="1"/>
    <s v="Bhagirath Interiors"/>
    <s v="Temghar"/>
    <s v="Furniture and Fixture"/>
    <s v="Found"/>
    <s v="No"/>
    <d v="2019-03-20T00:00:00"/>
    <d v="2026-01-23T00:00:00"/>
    <s v="0162-18/19, 0165-18/19"/>
    <x v="29"/>
    <n v="9405"/>
    <m/>
    <m/>
    <s v="bhagirathinteriors@gmail.com"/>
    <n v="9930806006"/>
    <s v="Manpada junction, Opp Titan Hospital, G.B Road, Thane(W) 400607"/>
    <x v="2"/>
    <s v="NA"/>
  </r>
  <r>
    <x v="27"/>
    <s v="Brown Wooden Drawer "/>
    <x v="1"/>
    <s v="Rest house(Room.no.3)"/>
    <n v="1"/>
    <s v="Bhagirath Interiors"/>
    <s v="Temghar"/>
    <s v="Furniture and Fixture"/>
    <s v="Found"/>
    <s v="No"/>
    <d v="2019-03-20T00:00:00"/>
    <d v="2026-01-23T00:00:00"/>
    <s v="0162-18/19, 0165-18/19"/>
    <x v="29"/>
    <n v="9405"/>
    <m/>
    <m/>
    <s v="bhagirathinteriors@gmail.com"/>
    <n v="9930806006"/>
    <s v="Manpada junction, Opp Titan Hospital, G.B Road, Thane(W) 400607"/>
    <x v="2"/>
    <s v="NA"/>
  </r>
  <r>
    <x v="26"/>
    <s v="Brown color Glass Square Tea poy "/>
    <x v="1"/>
    <s v="Rest house(Room.no.2)"/>
    <n v="1"/>
    <s v="Classic Enterprises"/>
    <s v="Temghar"/>
    <s v="Office Equipement"/>
    <s v="Found"/>
    <s v="No"/>
    <d v="2019-05-29T00:00:00"/>
    <d v="2026-01-23T00:00:00"/>
    <s v="007/2019-20"/>
    <x v="28"/>
    <n v="10311.291428571429"/>
    <m/>
    <s v="NA"/>
    <s v="NA"/>
    <s v="NA"/>
    <s v="NA"/>
    <x v="2"/>
    <m/>
  </r>
  <r>
    <x v="28"/>
    <s v="Tea poy Glass black color (circle shape)"/>
    <x v="1"/>
    <s v="Rest House (Main Hall)"/>
    <n v="1"/>
    <s v="Classic Enterprises"/>
    <s v="Temghar"/>
    <s v="Furniture and Fixture"/>
    <s v="Found"/>
    <s v="No"/>
    <d v="2019-05-29T00:00:00"/>
    <d v="2026-01-23T00:00:00"/>
    <s v="007/2019-20"/>
    <x v="19"/>
    <n v="15697.731428571427"/>
    <m/>
    <m/>
    <s v="NA"/>
    <s v="NA"/>
    <s v="NA"/>
    <x v="2"/>
    <m/>
  </r>
  <r>
    <x v="28"/>
    <s v="Tea poy Glass black color circle shape"/>
    <x v="1"/>
    <s v="Rest house(Room.no.3)"/>
    <n v="1"/>
    <s v="Classic Enterprises"/>
    <s v="Temghar"/>
    <s v="Furniture and Fixture"/>
    <s v="Found"/>
    <s v="No"/>
    <d v="2019-05-29T00:00:00"/>
    <d v="2026-01-23T00:00:00"/>
    <s v="007/2019-20"/>
    <x v="19"/>
    <n v="15697.731428571427"/>
    <m/>
    <m/>
    <s v="NA"/>
    <s v="NA"/>
    <s v="NA"/>
    <x v="2"/>
    <m/>
  </r>
  <r>
    <x v="14"/>
    <s v="Orbit Fix Legged Mesh chair"/>
    <x v="8"/>
    <s v="Cabin no.4"/>
    <n v="1"/>
    <s v="Bhagirath Interiors"/>
    <s v="Temghar"/>
    <s v="Furniture and Fixture"/>
    <s v="Found"/>
    <s v="No"/>
    <d v="2023-02-11T00:00:00"/>
    <d v="2026-01-10T00:00:00"/>
    <s v="11-23/24"/>
    <x v="15"/>
    <n v="7611"/>
    <m/>
    <m/>
    <s v="NA"/>
    <s v="NA"/>
    <s v="Manpada junction, Opp Titan Hospital, G.B Road, Thane(W) 400610"/>
    <x v="4"/>
    <s v="Supply of Desktop Table Medium Size"/>
  </r>
  <r>
    <x v="13"/>
    <s v="Supply of HP Leser Jet Printer 1108"/>
    <x v="7"/>
    <s v="Chemist lab"/>
    <n v="1"/>
    <s v="J. P. Services"/>
    <s v="Temghar"/>
    <s v="Office Equipement"/>
    <s v="Found"/>
    <s v="No"/>
    <d v="2025-07-24T00:00:00"/>
    <d v="2026-01-10T00:00:00"/>
    <s v="JPS-2025-26/0060"/>
    <x v="30"/>
    <n v="9950"/>
    <m/>
    <s v="Uploaded"/>
    <s v="contact@jpservices.co.in"/>
    <s v="93213602505/7777090510"/>
    <s v="9/4 Matruchaya Chawl, New Shivaji Nagar, Kalwa, Thane 400605"/>
    <x v="9"/>
    <s v="Supply of 2 Door Steel Godrej Cupboard"/>
  </r>
  <r>
    <x v="29"/>
    <s v="Supply of All in one Computer of Lenovo NEO 30a"/>
    <x v="12"/>
    <s v="New Pump House"/>
    <n v="1"/>
    <s v="Green apple compunet"/>
    <s v="Temghar"/>
    <s v="Computer"/>
    <s v="Found"/>
    <s v="No"/>
    <d v="2024-07-22T00:00:00"/>
    <d v="2026-01-19T00:00:00"/>
    <s v="GAC-003800/24-25"/>
    <x v="12"/>
    <n v="52100"/>
    <m/>
    <s v="Uploaded"/>
    <s v="computechgreen@gmail.com"/>
    <s v="9022260222/9594248270"/>
    <s v="Shop No.1,2 &amp; 3, Gajanan Commercial Complex, Datta Mandir RD, Thane west 400601"/>
    <x v="6"/>
    <s v="Supply of Wooden bed with Pillow and mattress"/>
  </r>
  <r>
    <x v="17"/>
    <s v="Supply of Air Condtioner 1 TON"/>
    <x v="13"/>
    <s v="New Pump House"/>
    <n v="1"/>
    <s v="Global Enterprise"/>
    <s v="Temghar"/>
    <s v="Plant and Machinery"/>
    <s v="Found"/>
    <s v="No"/>
    <d v="2024-05-15T00:00:00"/>
    <d v="2026-01-17T00:00:00"/>
    <n v="18"/>
    <x v="26"/>
    <n v="42174"/>
    <m/>
    <s v="Uploaded"/>
    <s v="globalentp13@gmail.com"/>
    <n v="9324349923"/>
    <s v="09, Risbud house siddhivinayak shopping center, opp bata showroom near jambhali naka station road, Thane (W) 400601"/>
    <x v="6"/>
    <s v="Mitsubishi 1 TON AC"/>
  </r>
  <r>
    <x v="30"/>
    <s v="Supply of Revolving chair"/>
    <x v="14"/>
    <s v="New pump house "/>
    <n v="1"/>
    <s v="Kasturi steel furniture manufacturing LLP"/>
    <s v="Temghar"/>
    <s v="Furniture and Fixture"/>
    <s v="Found"/>
    <s v="No"/>
    <d v="2023-03-02T00:00:00"/>
    <d v="2025-12-31T00:00:00"/>
    <s v="397-22/23"/>
    <x v="31"/>
    <m/>
    <m/>
    <m/>
    <s v="kasturisteelfurniture@gmail.com"/>
    <n v="9820797926"/>
    <s v="Gala No 23D, 9 Acre, Kothari Compound, Chitalsar Manapada, Thane(W) 400607"/>
    <x v="4"/>
    <s v="Sigma Revolving Chair "/>
  </r>
  <r>
    <x v="31"/>
    <s v="Supply of Visiting Chair "/>
    <x v="8"/>
    <s v="New pump house "/>
    <n v="1"/>
    <s v="Kasturi steel furniture manufacturing LLP"/>
    <s v="Temghar"/>
    <s v="Furniture and Fixture"/>
    <s v="Found"/>
    <s v="No"/>
    <d v="2023-03-02T00:00:00"/>
    <d v="2025-12-31T00:00:00"/>
    <s v="397-22/23"/>
    <x v="32"/>
    <m/>
    <m/>
    <m/>
    <s v="kasturisteelfurniture@gmail.com"/>
    <n v="9820797926"/>
    <s v="Gala No 23D, 9 Acre, Kothari Compound, Chitalsar Manapada, Thane(W) 400607"/>
    <x v="4"/>
    <s v="NA"/>
  </r>
  <r>
    <x v="31"/>
    <s v="Supply of Visiting Chair "/>
    <x v="8"/>
    <s v="Old pump house"/>
    <n v="1"/>
    <s v="Kasturi steel furniture manufacturing LLP"/>
    <s v="Temghar"/>
    <s v="Furniture and Fixture"/>
    <s v="Found"/>
    <s v="No"/>
    <d v="2023-03-02T00:00:00"/>
    <d v="2026-01-17T00:00:00"/>
    <s v="397-22/23"/>
    <x v="32"/>
    <n v="5000"/>
    <m/>
    <m/>
    <s v="kasturisteelfurniture@gmail.com"/>
    <n v="9820797926"/>
    <s v="Gala No 23D, 9 Acre, Kothari Compound, Chitalsar Manapada, Thane(W) 400607"/>
    <x v="4"/>
    <s v="NA"/>
  </r>
  <r>
    <x v="31"/>
    <s v="Supply of Visiting Chair "/>
    <x v="8"/>
    <s v="Old pump house"/>
    <n v="1"/>
    <s v="Kasturi steel furniture manufacturing LLP"/>
    <s v="Temghar"/>
    <s v="Furniture and Fixture"/>
    <s v="Found"/>
    <s v="No"/>
    <d v="2023-03-02T00:00:00"/>
    <d v="2026-01-17T00:00:00"/>
    <s v="397-22/23"/>
    <x v="32"/>
    <n v="5000"/>
    <m/>
    <m/>
    <s v="kasturisteelfurniture@gmail.com"/>
    <n v="9820797926"/>
    <s v="Gala No 23D, 9 Acre, Kothari Compound, Chitalsar Manapada, Thane(W) 400607"/>
    <x v="4"/>
    <s v="NA"/>
  </r>
  <r>
    <x v="32"/>
    <s v="P-951"/>
    <x v="0"/>
    <s v="Filter room"/>
    <n v="1"/>
    <s v="M.S.S.I.D.C."/>
    <s v="Temghar"/>
    <s v="Plant and Machinery"/>
    <s v="Found"/>
    <s v="No"/>
    <d v="2020-08-12T00:00:00"/>
    <d v="2026-01-19T00:00:00"/>
    <n v="2602"/>
    <x v="33"/>
    <n v="3050"/>
    <m/>
    <s v="Uploaded"/>
    <s v="acs.mssidc@maharashtra.gov.in"/>
    <s v="022-22611121"/>
    <s v="NA"/>
    <x v="8"/>
    <m/>
  </r>
  <r>
    <x v="32"/>
    <s v="P-951"/>
    <x v="0"/>
    <s v="Filter room"/>
    <n v="1"/>
    <s v="M.S.S.I.D.C."/>
    <s v="Temghar"/>
    <s v="Plant and Machinery"/>
    <s v="Found"/>
    <s v="No"/>
    <d v="2020-08-12T00:00:00"/>
    <d v="2026-01-19T00:00:00"/>
    <n v="2602"/>
    <x v="33"/>
    <n v="3050"/>
    <m/>
    <s v="Uploaded"/>
    <s v="acs.mssidc@maharashtra.gov.in"/>
    <s v="022-22611121"/>
    <s v="NA"/>
    <x v="8"/>
    <m/>
  </r>
  <r>
    <x v="32"/>
    <s v="P-951"/>
    <x v="0"/>
    <s v="Filter room"/>
    <n v="1"/>
    <s v="M.S.S.I.D.C."/>
    <s v="Temghar"/>
    <s v="Plant and Machinery"/>
    <s v="Found"/>
    <s v="No"/>
    <d v="2020-08-12T00:00:00"/>
    <d v="2026-01-19T00:00:00"/>
    <n v="2602"/>
    <x v="33"/>
    <n v="3050"/>
    <m/>
    <s v="Uploaded"/>
    <s v="acs.mssidc@maharashtra.gov.in"/>
    <s v="022-22611121"/>
    <s v="NA"/>
    <x v="8"/>
    <m/>
  </r>
  <r>
    <x v="32"/>
    <s v="P-951"/>
    <x v="0"/>
    <s v="Filter room"/>
    <n v="1"/>
    <s v="M.S.S.I.D.C."/>
    <s v="Temghar"/>
    <s v="Plant and Machinery"/>
    <s v="Found"/>
    <s v="No"/>
    <d v="2020-08-12T00:00:00"/>
    <d v="2026-01-19T00:00:00"/>
    <n v="2602"/>
    <x v="33"/>
    <n v="3050"/>
    <m/>
    <s v="Uploaded"/>
    <s v="acs.mssidc@maharashtra.gov.in"/>
    <s v="022-22611121"/>
    <s v="NA"/>
    <x v="8"/>
    <m/>
  </r>
  <r>
    <x v="33"/>
    <s v="provide and fixing CCTVSurveillance "/>
    <x v="15"/>
    <s v="New Pump House"/>
    <n v="1"/>
    <s v="Suvas Electrical"/>
    <s v="Temghar"/>
    <s v="Plant and Machinery"/>
    <s v="Found"/>
    <s v="No"/>
    <d v="2020-01-23T00:00:00"/>
    <d v="2026-01-19T00:00:00"/>
    <s v="B1-30 for 2019-20"/>
    <x v="34"/>
    <n v="5347"/>
    <m/>
    <m/>
    <s v="NA"/>
    <n v="9867772203"/>
    <s v="Jaydeep Emphasis Unit No. 405, Opp. Punjab National Bank, Near Datta Mandir, Mulund Wagle Check, Thane. "/>
    <x v="8"/>
    <s v="CCTV"/>
  </r>
  <r>
    <x v="33"/>
    <s v="provide and fixing Rolling Shutter and CCTVSurveillance "/>
    <x v="15"/>
    <s v="New Pump House"/>
    <n v="1"/>
    <s v="Suvas Electrical"/>
    <s v="Temghar"/>
    <s v="Plant and Machinery"/>
    <s v="Found"/>
    <s v="No"/>
    <d v="2020-01-23T00:00:00"/>
    <d v="2026-01-19T00:00:00"/>
    <s v="B1-30 for 2019-20"/>
    <x v="34"/>
    <n v="5347"/>
    <m/>
    <m/>
    <s v="NA"/>
    <n v="9867772203"/>
    <s v="Jaydeep Emphasis Unit No. 405, Opp. Punjab National Bank, Near Datta Mandir, Mulund Wagle Check, Thane. "/>
    <x v="8"/>
    <s v="CCTV"/>
  </r>
  <r>
    <x v="33"/>
    <s v="provide and fixing Rolling Shutter and CCTVSurveillance "/>
    <x v="15"/>
    <s v="New Pump House"/>
    <n v="1"/>
    <s v="Suvas Electrical"/>
    <s v="Temghar"/>
    <s v="Plant and Machinery"/>
    <s v="Found"/>
    <s v="No"/>
    <d v="2020-01-23T00:00:00"/>
    <d v="2026-01-19T00:00:00"/>
    <s v="B1-30 for 2019-20"/>
    <x v="34"/>
    <n v="5347"/>
    <m/>
    <m/>
    <s v="NA"/>
    <n v="9867772203"/>
    <s v="Jaydeep Emphasis Unit No. 405, Opp. Punjab National Bank, Near Datta Mandir, Mulund Wagle Check, Thane. "/>
    <x v="8"/>
    <s v="CCTV"/>
  </r>
  <r>
    <x v="33"/>
    <s v="provide and fixing Rolling Shutter and CCTVSurveillance "/>
    <x v="15"/>
    <s v="New Pump House"/>
    <n v="1"/>
    <s v="Suvas Electrical"/>
    <s v="Temghar"/>
    <s v="Plant and Machinery"/>
    <s v="Found"/>
    <s v="No"/>
    <d v="2020-01-23T00:00:00"/>
    <d v="2026-01-19T00:00:00"/>
    <s v="B1-30 for 2019-20"/>
    <x v="34"/>
    <n v="5347"/>
    <m/>
    <m/>
    <s v="NA"/>
    <n v="9867772203"/>
    <s v="Jaydeep Emphasis Unit No. 405, Opp. Punjab National Bank, Near Datta Mandir, Mulund Wagle Check, Thane. "/>
    <x v="8"/>
    <s v="CCTV"/>
  </r>
  <r>
    <x v="33"/>
    <s v="provide and fixing Rolling Shutter and CCTVSurveillance "/>
    <x v="15"/>
    <s v="New Pump House"/>
    <n v="1"/>
    <s v="Suvas Electrical"/>
    <s v="Temghar"/>
    <s v="Plant and Machinery"/>
    <s v="Found"/>
    <s v="No"/>
    <d v="2020-01-23T00:00:00"/>
    <d v="2026-01-19T00:00:00"/>
    <s v="B1-30 for 2019-20"/>
    <x v="34"/>
    <n v="5347"/>
    <m/>
    <m/>
    <s v="NA"/>
    <n v="9867772203"/>
    <s v="Jaydeep Emphasis Unit No. 405, Opp. Punjab National Bank, Near Datta Mandir, Mulund Wagle Check, Thane. "/>
    <x v="8"/>
    <s v="CCTV"/>
  </r>
  <r>
    <x v="34"/>
    <s v="Brown Color Computer Desktop "/>
    <x v="0"/>
    <s v="Filter room"/>
    <n v="1"/>
    <s v="M.S.S.I.D.C."/>
    <s v="Temghar"/>
    <s v="Plant and Machinery"/>
    <s v="Found"/>
    <s v="No"/>
    <d v="2020-08-12T00:00:00"/>
    <d v="2026-01-23T00:00:00"/>
    <n v="6530"/>
    <x v="24"/>
    <m/>
    <m/>
    <m/>
    <s v="acs.mssidc@maharashtra.gov.in"/>
    <s v="022-22611121"/>
    <s v="NA"/>
    <x v="1"/>
    <m/>
  </r>
  <r>
    <x v="23"/>
    <s v="18 locker cupboard"/>
    <x v="1"/>
    <s v="Filter room"/>
    <n v="1"/>
    <s v="M.S.S.I.D.C."/>
    <s v="Temghar"/>
    <s v="Furniture and Fixture"/>
    <s v="Found"/>
    <s v="No"/>
    <d v="2018-03-27T00:00:00"/>
    <d v="2026-01-23T00:00:00"/>
    <n v="180029"/>
    <x v="35"/>
    <n v="13500"/>
    <m/>
    <s v="Found"/>
    <s v="acs.mssidc@maharashtra.gov.in"/>
    <s v="022-22611121"/>
    <s v="NA"/>
    <x v="1"/>
    <s v="18 locker cupboard"/>
  </r>
  <r>
    <x v="23"/>
    <s v="18 locker cupboard"/>
    <x v="1"/>
    <s v="Filter room"/>
    <n v="1"/>
    <s v="M.S.S.I.D.C."/>
    <s v="Temghar"/>
    <s v="Furniture and Fixture"/>
    <s v="Found"/>
    <s v="No"/>
    <d v="2018-03-27T00:00:00"/>
    <d v="2026-01-23T00:00:00"/>
    <n v="180029"/>
    <x v="35"/>
    <n v="13500"/>
    <m/>
    <s v="Found"/>
    <s v="acs.mssidc@maharashtra.gov.in"/>
    <s v="022-22611121"/>
    <s v="NA"/>
    <x v="1"/>
    <s v="18 locker cupboard"/>
  </r>
  <r>
    <x v="35"/>
    <s v="Rectangle Table"/>
    <x v="0"/>
    <s v="Filter room"/>
    <n v="1"/>
    <s v="M.S.S.I.D.C."/>
    <s v="Temghar"/>
    <s v="Furniture and Fixture"/>
    <s v="Found"/>
    <s v="No"/>
    <d v="2020-08-12T00:00:00"/>
    <d v="2026-01-23T00:00:00"/>
    <n v="2602"/>
    <x v="36"/>
    <n v="13150"/>
    <m/>
    <m/>
    <s v="acs.mssidc@maharashtra.gov.in"/>
    <s v="022-22611121"/>
    <s v="NA"/>
    <x v="1"/>
    <m/>
  </r>
  <r>
    <x v="27"/>
    <s v="Wooden Drawer with 2 compartment"/>
    <x v="1"/>
    <s v="Rest house(Room.no.4)"/>
    <n v="1"/>
    <s v="Bhagirath Interiors"/>
    <s v="Temghar"/>
    <s v="Furniture and Fixture"/>
    <s v="Found"/>
    <s v="No"/>
    <d v="2019-03-20T00:00:00"/>
    <d v="2026-01-23T00:00:00"/>
    <s v="0162-18/19, 0165-18/19"/>
    <x v="29"/>
    <n v="9405"/>
    <m/>
    <m/>
    <s v="bhagirathinteriors@gmail.com"/>
    <n v="9930806006"/>
    <s v="Manpada junction, Opp Titan Hospital, G.B Road, Thane(W) 400607"/>
    <x v="2"/>
    <s v="Wooden Drawers "/>
  </r>
  <r>
    <x v="30"/>
    <s v="Supply of Revolving chair"/>
    <x v="14"/>
    <s v="Rest house(Room.no.4)"/>
    <n v="1"/>
    <s v="Kasturi steel furniture manufacturing LLP"/>
    <m/>
    <m/>
    <m/>
    <m/>
    <d v="2023-03-02T00:00:00"/>
    <d v="2026-01-20T00:00:00"/>
    <s v="397-22/23"/>
    <x v="31"/>
    <n v="6500"/>
    <m/>
    <m/>
    <s v="kasturisteelfurniture@gmail.com"/>
    <n v="9820797926"/>
    <s v="Gala No 23D, 9 Acre, Kothari Compound, Chitalsar Manapada, Thane(W) 400607"/>
    <x v="4"/>
    <s v="NA"/>
  </r>
  <r>
    <x v="36"/>
    <s v="Supply of Neelkamal Plastic chair"/>
    <x v="16"/>
    <s v="Rest house(main hall)"/>
    <n v="1"/>
    <s v="Kasturi steel furniture manufacturing LLP"/>
    <s v="Temghar"/>
    <s v="Furniture and Fixture"/>
    <s v="Found"/>
    <s v="No"/>
    <d v="2025-01-21T00:00:00"/>
    <d v="2026-01-20T00:00:00"/>
    <s v="527-24-25"/>
    <x v="37"/>
    <n v="1400"/>
    <m/>
    <m/>
    <s v="kasturisteelfurniture@gmail.com"/>
    <n v="9820797926"/>
    <s v="Gala No 23D Acre, Kothari Compound, Chitalsar Manapada, Thane(W) 400607"/>
    <x v="9"/>
    <s v="NA"/>
  </r>
  <r>
    <x v="37"/>
    <s v="Supply of 120 Liter Dustbin"/>
    <x v="16"/>
    <s v="WTP temghar"/>
    <n v="5"/>
    <s v="Kasturi steel furniture manufacturing LLP"/>
    <s v="Temghar"/>
    <s v="office Equipment"/>
    <s v="Found"/>
    <s v="Yes"/>
    <d v="2025-08-30T00:00:00"/>
    <d v="2026-01-21T00:00:00"/>
    <s v="404-25/25"/>
    <x v="38"/>
    <n v="18000"/>
    <m/>
    <s v="Uploaded"/>
    <s v="kasturisteelfurniture@gmail.com"/>
    <n v="9820797926"/>
    <s v="Gala No 23D Acre, Kothari Compound, Chitalsar Manapada, Thane(W) 400607"/>
    <x v="9"/>
    <s v="Click Pic"/>
  </r>
  <r>
    <x v="8"/>
    <s v="2 door Wooden Cupboard (6.0 feet length, 2.9 feet width)"/>
    <x v="1"/>
    <s v="Rest house(Room.no.2)"/>
    <n v="1"/>
    <s v="Classic Enterprises"/>
    <s v="Temghar"/>
    <s v="Office Equipement"/>
    <s v="Found"/>
    <s v="No"/>
    <d v="2019-05-29T00:00:00"/>
    <d v="2026-01-23T00:00:00"/>
    <s v="007/2019-20"/>
    <x v="7"/>
    <n v="34568.231428571402"/>
    <m/>
    <m/>
    <m/>
    <m/>
    <m/>
    <x v="2"/>
    <s v="2 door Wooden Cupboard"/>
  </r>
  <r>
    <x v="8"/>
    <s v="2 door Wooden Cupboard With Mirror"/>
    <x v="1"/>
    <s v="Rest house(Room.no.3)"/>
    <n v="1"/>
    <s v="Classic Enterprises"/>
    <s v="Temghar"/>
    <s v="office Equipment"/>
    <s v="Found"/>
    <s v="No"/>
    <d v="2019-05-29T00:00:00"/>
    <d v="2026-01-23T00:00:00"/>
    <s v="007/2019-20"/>
    <x v="7"/>
    <n v="34568.231428571402"/>
    <m/>
    <m/>
    <m/>
    <m/>
    <m/>
    <x v="2"/>
    <s v="2 door Wooden Cupboard With Mirror"/>
  </r>
  <r>
    <x v="8"/>
    <s v="2 door Wooden Cupboard (6.0 feet length, 2.9 feet width)"/>
    <x v="1"/>
    <s v="Rest house(Room.no.3)"/>
    <n v="1"/>
    <s v="Classic Enterprises"/>
    <s v="Temghar"/>
    <s v="office Equipment"/>
    <s v="Found"/>
    <s v="No"/>
    <d v="2017-03-31T00:00:00"/>
    <d v="2026-01-23T00:00:00"/>
    <s v="007/2019-20"/>
    <x v="39"/>
    <n v="34567"/>
    <m/>
    <m/>
    <m/>
    <m/>
    <m/>
    <x v="5"/>
    <s v="2 door Wooden Cupboard"/>
  </r>
  <r>
    <x v="6"/>
    <s v="Supply of 2 Door Steel Godrej Cupboard"/>
    <x v="1"/>
    <s v="Rest house(Room.no.4)"/>
    <n v="1"/>
    <s v="M.S.S.I.D.C."/>
    <s v="Temghar"/>
    <s v="Electrical Fitting"/>
    <s v="Found"/>
    <s v="No"/>
    <d v="2018-03-27T00:00:00"/>
    <d v="2026-01-23T00:00:00"/>
    <n v="180029"/>
    <x v="40"/>
    <n v="5900"/>
    <m/>
    <m/>
    <s v="acs.mssidc@maharashtra.gov.in"/>
    <s v="022-22611121"/>
    <s v="NA"/>
    <x v="1"/>
    <s v="Supply of 2 Door Steel Godrej Cupboard"/>
  </r>
  <r>
    <x v="10"/>
    <s v="Supply of Wooden bed with Pillow and mattress"/>
    <x v="1"/>
    <s v="Rest house(Room.no.4)"/>
    <n v="1"/>
    <s v="Bhagirath Interiors"/>
    <s v="Temghar"/>
    <s v="Electrical Fitting"/>
    <s v="Found"/>
    <s v="No"/>
    <d v="2019-03-20T00:00:00"/>
    <d v="2026-01-23T00:00:00"/>
    <s v="0171-18/19"/>
    <x v="41"/>
    <n v="57454.75"/>
    <m/>
    <m/>
    <s v="bhagirathinteriors@gmail.com"/>
    <n v="9930806006"/>
    <s v="Manpada junction, Opp Titan Hospital, G.B Road, Thane(W) 400607"/>
    <x v="2"/>
    <s v="Supply of Wooden bed with Pillow and mattress"/>
  </r>
  <r>
    <x v="6"/>
    <s v="Supply of 2 Door Steel Cupboard"/>
    <x v="1"/>
    <s v="Rest house(main hall)"/>
    <n v="3"/>
    <s v="Godrej and Boys mfg Co Ltd"/>
    <s v="Temghar"/>
    <s v="Furniture and Fixture"/>
    <s v="Found"/>
    <s v="No"/>
    <d v="2017-12-08T00:00:00"/>
    <d v="2026-01-23T00:00:00"/>
    <s v="31J/12000010"/>
    <x v="42"/>
    <n v="60066"/>
    <m/>
    <m/>
    <s v="info@godrej.com"/>
    <s v="022 6796 5656"/>
    <s v="2nd Floor, Eternity Mall, LBS Marg, Near Teen Haath Naka, Thane - 400601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D7024-0B92-42B4-8D07-B2A4C0B8D941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89" firstHeaderRow="1" firstDataRow="1" firstDataCol="4"/>
  <pivotFields count="22">
    <pivotField name="Assets Name]" axis="axisRow" compact="0" outline="0" showAll="0">
      <items count="39">
        <item x="23"/>
        <item x="17"/>
        <item x="20"/>
        <item x="33"/>
        <item x="32"/>
        <item x="26"/>
        <item x="28"/>
        <item x="21"/>
        <item x="12"/>
        <item x="29"/>
        <item x="34"/>
        <item x="3"/>
        <item x="4"/>
        <item x="37"/>
        <item x="11"/>
        <item x="1"/>
        <item x="25"/>
        <item x="18"/>
        <item x="16"/>
        <item x="19"/>
        <item x="14"/>
        <item x="36"/>
        <item x="13"/>
        <item x="5"/>
        <item x="22"/>
        <item x="30"/>
        <item x="2"/>
        <item x="7"/>
        <item x="6"/>
        <item x="0"/>
        <item x="35"/>
        <item x="24"/>
        <item x="31"/>
        <item x="15"/>
        <item x="9"/>
        <item x="10"/>
        <item x="8"/>
        <item x="27"/>
        <item t="default"/>
      </items>
    </pivotField>
    <pivotField compact="0" outline="0" showAll="0"/>
    <pivotField name="Make" axis="axisRow" compact="0" outline="0" showAll="0">
      <items count="18">
        <item x="4"/>
        <item x="10"/>
        <item x="2"/>
        <item x="11"/>
        <item x="1"/>
        <item x="3"/>
        <item x="15"/>
        <item x="7"/>
        <item x="9"/>
        <item x="6"/>
        <item x="12"/>
        <item x="5"/>
        <item x="13"/>
        <item x="0"/>
        <item x="16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4">
        <item x="37"/>
        <item x="22"/>
        <item x="33"/>
        <item x="38"/>
        <item x="32"/>
        <item x="34"/>
        <item x="40"/>
        <item x="31"/>
        <item x="24"/>
        <item x="15"/>
        <item x="14"/>
        <item x="5"/>
        <item x="29"/>
        <item x="20"/>
        <item x="30"/>
        <item x="28"/>
        <item x="23"/>
        <item x="36"/>
        <item x="35"/>
        <item x="13"/>
        <item x="19"/>
        <item x="9"/>
        <item x="42"/>
        <item x="21"/>
        <item x="18"/>
        <item x="0"/>
        <item x="3"/>
        <item x="39"/>
        <item x="8"/>
        <item x="7"/>
        <item x="25"/>
        <item x="26"/>
        <item x="27"/>
        <item x="17"/>
        <item x="16"/>
        <item x="12"/>
        <item x="4"/>
        <item x="6"/>
        <item x="41"/>
        <item x="10"/>
        <item x="11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7"/>
        <item x="0"/>
        <item x="3"/>
        <item x="5"/>
        <item x="1"/>
        <item x="2"/>
        <item x="8"/>
        <item x="4"/>
        <item x="6"/>
        <item x="9"/>
        <item t="default"/>
      </items>
    </pivotField>
    <pivotField compact="0" outline="0" showAll="0"/>
  </pivotFields>
  <rowFields count="4">
    <field x="0"/>
    <field x="2"/>
    <field x="13"/>
    <field x="20"/>
  </rowFields>
  <rowItems count="186">
    <i>
      <x/>
      <x v="4"/>
      <x v="16"/>
      <x v="2"/>
    </i>
    <i t="default" r="2">
      <x v="16"/>
    </i>
    <i r="2">
      <x v="18"/>
      <x v="4"/>
    </i>
    <i t="default" r="2">
      <x v="18"/>
    </i>
    <i t="default" r="1">
      <x v="4"/>
    </i>
    <i t="default">
      <x/>
    </i>
    <i>
      <x v="1"/>
      <x v="1"/>
      <x v="33"/>
      <x v="2"/>
    </i>
    <i t="default" r="2">
      <x v="33"/>
    </i>
    <i t="default" r="1">
      <x v="1"/>
    </i>
    <i r="1">
      <x v="12"/>
      <x v="31"/>
      <x v="8"/>
    </i>
    <i t="default" r="2">
      <x v="31"/>
    </i>
    <i t="default" r="1">
      <x v="12"/>
    </i>
    <i t="default">
      <x v="1"/>
    </i>
    <i>
      <x v="2"/>
      <x v="3"/>
      <x v="23"/>
      <x/>
    </i>
    <i t="default" r="2">
      <x v="23"/>
    </i>
    <i t="default" r="1">
      <x v="3"/>
    </i>
    <i t="default">
      <x v="2"/>
    </i>
    <i>
      <x v="3"/>
      <x v="6"/>
      <x v="5"/>
      <x v="6"/>
    </i>
    <i t="default" r="2">
      <x v="5"/>
    </i>
    <i t="default" r="1">
      <x v="6"/>
    </i>
    <i t="default">
      <x v="3"/>
    </i>
    <i>
      <x v="4"/>
      <x v="13"/>
      <x v="2"/>
      <x v="6"/>
    </i>
    <i t="default" r="2">
      <x v="2"/>
    </i>
    <i t="default" r="1">
      <x v="13"/>
    </i>
    <i t="default">
      <x v="4"/>
    </i>
    <i>
      <x v="5"/>
      <x v="4"/>
      <x v="15"/>
      <x v="5"/>
    </i>
    <i t="default" r="2">
      <x v="15"/>
    </i>
    <i t="default" r="1">
      <x v="4"/>
    </i>
    <i t="default">
      <x v="5"/>
    </i>
    <i>
      <x v="6"/>
      <x v="4"/>
      <x v="20"/>
      <x v="5"/>
    </i>
    <i t="default" r="2">
      <x v="20"/>
    </i>
    <i t="default" r="1">
      <x v="4"/>
    </i>
    <i t="default">
      <x v="6"/>
    </i>
    <i>
      <x v="7"/>
      <x v="4"/>
      <x v="9"/>
      <x v="7"/>
    </i>
    <i t="default" r="2">
      <x v="9"/>
    </i>
    <i t="default" r="1">
      <x v="4"/>
    </i>
    <i t="default">
      <x v="7"/>
    </i>
    <i>
      <x v="8"/>
      <x v="8"/>
      <x v="35"/>
      <x v="8"/>
    </i>
    <i t="default" r="2">
      <x v="35"/>
    </i>
    <i t="default" r="1">
      <x v="8"/>
    </i>
    <i r="1">
      <x v="9"/>
      <x v="35"/>
      <x v="8"/>
    </i>
    <i t="default" r="2">
      <x v="35"/>
    </i>
    <i t="default" r="1">
      <x v="9"/>
    </i>
    <i r="1">
      <x v="10"/>
      <x v="30"/>
      <x v="5"/>
    </i>
    <i t="default" r="2">
      <x v="30"/>
    </i>
    <i t="default" r="1">
      <x v="10"/>
    </i>
    <i t="default">
      <x v="8"/>
    </i>
    <i>
      <x v="9"/>
      <x v="10"/>
      <x v="35"/>
      <x v="8"/>
    </i>
    <i t="default" r="2">
      <x v="35"/>
    </i>
    <i t="default" r="1">
      <x v="10"/>
    </i>
    <i t="default">
      <x v="9"/>
    </i>
    <i>
      <x v="10"/>
      <x v="13"/>
      <x v="8"/>
      <x v="4"/>
    </i>
    <i t="default" r="2">
      <x v="8"/>
    </i>
    <i t="default" r="1">
      <x v="13"/>
    </i>
    <i t="default">
      <x v="10"/>
    </i>
    <i>
      <x v="11"/>
      <x v="4"/>
      <x v="36"/>
      <x v="2"/>
    </i>
    <i t="default" r="2">
      <x v="36"/>
    </i>
    <i t="default" r="1">
      <x v="4"/>
    </i>
    <i t="default">
      <x v="11"/>
    </i>
    <i>
      <x v="12"/>
      <x v="4"/>
      <x v="11"/>
      <x v="5"/>
    </i>
    <i t="default" r="2">
      <x v="11"/>
    </i>
    <i t="default" r="1">
      <x v="4"/>
    </i>
    <i t="default">
      <x v="12"/>
    </i>
    <i>
      <x v="13"/>
      <x v="14"/>
      <x v="3"/>
      <x v="9"/>
    </i>
    <i t="default" r="2">
      <x v="3"/>
    </i>
    <i t="default" r="1">
      <x v="14"/>
    </i>
    <i t="default">
      <x v="13"/>
    </i>
    <i>
      <x v="14"/>
      <x v="11"/>
      <x v="40"/>
      <x v="3"/>
    </i>
    <i t="default" r="2">
      <x v="40"/>
    </i>
    <i t="default" r="1">
      <x v="11"/>
    </i>
    <i t="default">
      <x v="14"/>
    </i>
    <i>
      <x v="15"/>
      <x v="13"/>
      <x v="41"/>
      <x v="4"/>
    </i>
    <i t="default" r="2">
      <x v="41"/>
    </i>
    <i r="2">
      <x v="42"/>
      <x v="4"/>
    </i>
    <i t="default" r="2">
      <x v="42"/>
    </i>
    <i t="default" r="1">
      <x v="13"/>
    </i>
    <i t="default">
      <x v="15"/>
    </i>
    <i>
      <x v="16"/>
      <x v="13"/>
      <x v="32"/>
      <x/>
    </i>
    <i t="default" r="2">
      <x v="32"/>
    </i>
    <i t="default" r="1">
      <x v="13"/>
    </i>
    <i t="default">
      <x v="16"/>
    </i>
    <i>
      <x v="17"/>
      <x v="4"/>
      <x v="20"/>
      <x v="5"/>
    </i>
    <i t="default" r="2">
      <x v="20"/>
    </i>
    <i t="default" r="1">
      <x v="4"/>
    </i>
    <i t="default">
      <x v="17"/>
    </i>
    <i>
      <x v="18"/>
      <x v="7"/>
      <x v="34"/>
      <x v="7"/>
    </i>
    <i t="default" r="2">
      <x v="34"/>
    </i>
    <i t="default" r="1">
      <x v="7"/>
    </i>
    <i t="default">
      <x v="18"/>
    </i>
    <i>
      <x v="19"/>
      <x v="4"/>
      <x v="13"/>
      <x v="7"/>
    </i>
    <i t="default" r="2">
      <x v="13"/>
    </i>
    <i t="default" r="1">
      <x v="4"/>
    </i>
    <i t="default">
      <x v="19"/>
    </i>
    <i>
      <x v="20"/>
      <x v="15"/>
      <x v="9"/>
      <x v="7"/>
    </i>
    <i t="default" r="2">
      <x v="9"/>
    </i>
    <i r="2">
      <x v="10"/>
      <x v="7"/>
    </i>
    <i t="default" r="2">
      <x v="10"/>
    </i>
    <i t="default" r="1">
      <x v="15"/>
    </i>
    <i t="default">
      <x v="20"/>
    </i>
    <i>
      <x v="21"/>
      <x v="14"/>
      <x/>
      <x v="9"/>
    </i>
    <i t="default" r="2">
      <x/>
    </i>
    <i t="default" r="1">
      <x v="14"/>
    </i>
    <i t="default">
      <x v="21"/>
    </i>
    <i>
      <x v="22"/>
      <x v="7"/>
      <x v="14"/>
      <x v="9"/>
    </i>
    <i t="default" r="2">
      <x v="14"/>
    </i>
    <i r="2">
      <x v="19"/>
      <x v="7"/>
    </i>
    <i t="default" r="2">
      <x v="19"/>
    </i>
    <i t="default" r="1">
      <x v="7"/>
    </i>
    <i t="default">
      <x v="22"/>
    </i>
    <i>
      <x v="23"/>
      <x v="2"/>
      <x v="37"/>
      <x v="7"/>
    </i>
    <i t="default" r="2">
      <x v="37"/>
    </i>
    <i t="default" r="1">
      <x v="2"/>
    </i>
    <i t="default">
      <x v="23"/>
    </i>
    <i>
      <x v="24"/>
      <x v="4"/>
      <x v="1"/>
      <x v="1"/>
    </i>
    <i t="default" r="2">
      <x v="1"/>
    </i>
    <i t="default" r="1">
      <x v="4"/>
    </i>
    <i t="default">
      <x v="24"/>
    </i>
    <i>
      <x v="25"/>
      <x v="16"/>
      <x v="7"/>
      <x v="7"/>
    </i>
    <i t="default" r="2">
      <x v="7"/>
    </i>
    <i t="default" r="1">
      <x v="16"/>
    </i>
    <i t="default">
      <x v="25"/>
    </i>
    <i>
      <x v="26"/>
      <x v="4"/>
      <x v="24"/>
      <x v="5"/>
    </i>
    <i t="default" r="2">
      <x v="24"/>
    </i>
    <i r="2">
      <x v="26"/>
      <x v="5"/>
    </i>
    <i t="default" r="2">
      <x v="26"/>
    </i>
    <i t="default" r="1">
      <x v="4"/>
    </i>
    <i t="default">
      <x v="26"/>
    </i>
    <i>
      <x v="27"/>
      <x/>
      <x v="21"/>
      <x v="7"/>
    </i>
    <i t="default" r="2">
      <x v="21"/>
    </i>
    <i t="default" r="1">
      <x/>
    </i>
    <i t="default">
      <x v="27"/>
    </i>
    <i>
      <x v="28"/>
      <x v="4"/>
      <x v="6"/>
      <x v="4"/>
    </i>
    <i t="default" r="2">
      <x v="6"/>
    </i>
    <i r="2">
      <x v="22"/>
      <x v="3"/>
    </i>
    <i t="default" r="2">
      <x v="22"/>
    </i>
    <i t="default" r="1">
      <x v="4"/>
    </i>
    <i r="1">
      <x v="5"/>
      <x v="28"/>
      <x v="5"/>
    </i>
    <i t="default" r="2">
      <x v="28"/>
    </i>
    <i r="2">
      <x v="29"/>
      <x v="5"/>
    </i>
    <i t="default" r="2">
      <x v="29"/>
    </i>
    <i t="default" r="1">
      <x v="5"/>
    </i>
    <i t="default">
      <x v="28"/>
    </i>
    <i>
      <x v="29"/>
      <x v="13"/>
      <x v="25"/>
      <x v="1"/>
    </i>
    <i t="default" r="2">
      <x v="25"/>
    </i>
    <i t="default" r="1">
      <x v="13"/>
    </i>
    <i t="default">
      <x v="29"/>
    </i>
    <i>
      <x v="30"/>
      <x v="13"/>
      <x v="17"/>
      <x v="4"/>
    </i>
    <i t="default" r="2">
      <x v="17"/>
    </i>
    <i t="default" r="1">
      <x v="13"/>
    </i>
    <i t="default">
      <x v="30"/>
    </i>
    <i>
      <x v="31"/>
      <x v="4"/>
      <x v="8"/>
      <x v="6"/>
    </i>
    <i t="default" r="2">
      <x v="8"/>
    </i>
    <i t="default" r="1">
      <x v="4"/>
    </i>
    <i t="default">
      <x v="31"/>
    </i>
    <i>
      <x v="32"/>
      <x v="15"/>
      <x v="4"/>
      <x v="7"/>
    </i>
    <i t="default" r="2">
      <x v="4"/>
    </i>
    <i t="default" r="1">
      <x v="15"/>
    </i>
    <i t="default">
      <x v="32"/>
    </i>
    <i>
      <x v="33"/>
      <x v="4"/>
      <x v="9"/>
      <x v="7"/>
    </i>
    <i t="default" r="2">
      <x v="9"/>
    </i>
    <i t="default" r="1">
      <x v="4"/>
    </i>
    <i r="1">
      <x v="15"/>
      <x v="9"/>
      <x v="7"/>
    </i>
    <i t="default" r="2">
      <x v="9"/>
    </i>
    <i t="default" r="1">
      <x v="15"/>
    </i>
    <i t="default">
      <x v="33"/>
    </i>
    <i>
      <x v="34"/>
      <x v="4"/>
      <x v="39"/>
      <x v="5"/>
    </i>
    <i t="default" r="2">
      <x v="39"/>
    </i>
    <i t="default" r="1">
      <x v="4"/>
    </i>
    <i t="default">
      <x v="34"/>
    </i>
    <i>
      <x v="35"/>
      <x v="4"/>
      <x v="38"/>
      <x v="5"/>
    </i>
    <i t="default" r="2">
      <x v="38"/>
    </i>
    <i r="2">
      <x v="39"/>
      <x v="5"/>
    </i>
    <i t="default" r="2">
      <x v="39"/>
    </i>
    <i t="default" r="1">
      <x v="4"/>
    </i>
    <i t="default">
      <x v="35"/>
    </i>
    <i>
      <x v="36"/>
      <x v="4"/>
      <x v="27"/>
      <x v="3"/>
    </i>
    <i t="default" r="2">
      <x v="27"/>
    </i>
    <i r="2">
      <x v="29"/>
      <x v="5"/>
    </i>
    <i t="default" r="2">
      <x v="29"/>
    </i>
    <i t="default" r="1">
      <x v="4"/>
    </i>
    <i t="default">
      <x v="36"/>
    </i>
    <i>
      <x v="37"/>
      <x v="4"/>
      <x v="12"/>
      <x v="5"/>
    </i>
    <i t="default" r="2">
      <x v="12"/>
    </i>
    <i t="default" r="1">
      <x v="4"/>
    </i>
    <i t="default">
      <x v="37"/>
    </i>
    <i t="grand">
      <x/>
    </i>
  </rowItems>
  <colItems count="1">
    <i/>
  </colItems>
  <dataFields count="1">
    <dataField name="Quantity" fld="4" baseField="0" baseItem="0"/>
  </dataFields>
  <formats count="554">
    <format dxfId="553">
      <pivotArea type="all" dataOnly="0" outline="0" fieldPosition="0"/>
    </format>
    <format dxfId="552">
      <pivotArea outline="0" collapsedLevelsAreSubtotals="1" fieldPosition="0"/>
    </format>
    <format dxfId="551">
      <pivotArea field="0" type="button" dataOnly="0" labelOnly="1" outline="0" axis="axisRow" fieldPosition="0"/>
    </format>
    <format dxfId="550">
      <pivotArea field="2" type="button" dataOnly="0" labelOnly="1" outline="0" axis="axisRow" fieldPosition="1"/>
    </format>
    <format dxfId="549">
      <pivotArea field="13" type="button" dataOnly="0" labelOnly="1" outline="0" axis="axisRow" fieldPosition="2"/>
    </format>
    <format dxfId="548">
      <pivotArea field="20" type="button" dataOnly="0" labelOnly="1" outline="0" axis="axisRow" fieldPosition="3"/>
    </format>
    <format dxfId="547">
      <pivotArea dataOnly="0" labelOnly="1" outline="0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46">
      <pivotArea dataOnly="0" labelOnly="1" outline="0" fieldPosition="0">
        <references count="1">
          <reference field="0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45">
      <pivotArea dataOnly="0" labelOnly="1" outline="0" fieldPosition="0">
        <references count="1">
          <reference field="0" count="13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544">
      <pivotArea dataOnly="0" labelOnly="1" outline="0" fieldPosition="0">
        <references count="1">
          <reference field="0" count="13" defaultSubtotal="1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543">
      <pivotArea dataOnly="0" labelOnly="1" grandRow="1" outline="0" fieldPosition="0"/>
    </format>
    <format dxfId="542">
      <pivotArea dataOnly="0" labelOnly="1" outline="0" fieldPosition="0">
        <references count="2">
          <reference field="0" count="1" selected="0">
            <x v="0"/>
          </reference>
          <reference field="2" count="1">
            <x v="4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0"/>
          </reference>
          <reference field="2" count="1" defaultSubtotal="1">
            <x v="4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1"/>
          </reference>
          <reference field="2" count="2">
            <x v="1"/>
            <x v="12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1"/>
          </reference>
          <reference field="2" count="2" defaultSubtotal="1">
            <x v="1"/>
            <x v="12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2"/>
          </reference>
          <reference field="2" count="1">
            <x v="3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3"/>
          </reference>
          <reference field="2" count="1">
            <x v="6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4"/>
          </reference>
          <reference field="2" count="1">
            <x v="13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5"/>
          </reference>
          <reference field="2" count="1">
            <x v="4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6"/>
          </reference>
          <reference field="2" count="1">
            <x v="4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7"/>
          </reference>
          <reference field="2" count="1">
            <x v="4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8"/>
          </reference>
          <reference field="2" count="3">
            <x v="8"/>
            <x v="9"/>
            <x v="10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8"/>
          </reference>
          <reference field="2" count="3" defaultSubtotal="1">
            <x v="8"/>
            <x v="9"/>
            <x v="10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10"/>
          </reference>
          <reference field="2" count="1">
            <x v="13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11"/>
          </reference>
          <reference field="2" count="1">
            <x v="4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12"/>
          </reference>
          <reference field="2" count="1">
            <x v="4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13"/>
          </reference>
          <reference field="2" count="1">
            <x v="14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14"/>
          </reference>
          <reference field="2" count="1">
            <x v="11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15"/>
          </reference>
          <reference field="2" count="1">
            <x v="13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16"/>
          </reference>
          <reference field="2" count="1">
            <x v="13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18"/>
          </reference>
          <reference field="2" count="1">
            <x v="7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19"/>
          </reference>
          <reference field="2" count="1">
            <x v="4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20"/>
          </reference>
          <reference field="2" count="1">
            <x v="15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21"/>
          </reference>
          <reference field="2" count="1">
            <x v="14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22"/>
          </reference>
          <reference field="2" count="1">
            <x v="7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23"/>
          </reference>
          <reference field="2" count="1">
            <x v="2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24"/>
          </reference>
          <reference field="2" count="1">
            <x v="4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25"/>
          </reference>
          <reference field="2" count="1">
            <x v="16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26"/>
          </reference>
          <reference field="2" count="1">
            <x v="4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27"/>
          </reference>
          <reference field="2" count="1">
            <x v="0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28"/>
          </reference>
          <reference field="2" count="2">
            <x v="4"/>
            <x v="5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28"/>
          </reference>
          <reference field="2" count="2" defaultSubtotal="1">
            <x v="4"/>
            <x v="5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29"/>
          </reference>
          <reference field="2" count="1">
            <x v="13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30"/>
          </reference>
          <reference field="2" count="1">
            <x v="13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31"/>
          </reference>
          <reference field="2" count="1">
            <x v="4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32"/>
          </reference>
          <reference field="2" count="1">
            <x v="15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33"/>
          </reference>
          <reference field="2" count="2">
            <x v="4"/>
            <x v="15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33"/>
          </reference>
          <reference field="2" count="2" defaultSubtotal="1">
            <x v="4"/>
            <x v="15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34"/>
          </reference>
          <reference field="2" count="1">
            <x v="4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35"/>
          </reference>
          <reference field="2" count="1">
            <x v="4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36"/>
          </reference>
          <reference field="2" count="1">
            <x v="4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37"/>
          </reference>
          <reference field="2" count="1">
            <x v="4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4"/>
          </reference>
          <reference field="13" count="2">
            <x v="16"/>
            <x v="18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4"/>
          </reference>
          <reference field="13" count="2" defaultSubtotal="1">
            <x v="16"/>
            <x v="18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"/>
          </reference>
          <reference field="13" count="1">
            <x v="33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"/>
          </reference>
          <reference field="13" count="1" defaultSubtotal="1">
            <x v="33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2"/>
          </reference>
          <reference field="13" count="1">
            <x v="31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2"/>
          </reference>
          <reference field="13" count="1" defaultSubtotal="1">
            <x v="31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3"/>
          </reference>
          <reference field="13" count="1">
            <x v="23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3"/>
          </reference>
          <reference field="13" count="1" defaultSubtotal="1">
            <x v="23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6"/>
          </reference>
          <reference field="13" count="1">
            <x v="5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6"/>
          </reference>
          <reference field="13" count="1" defaultSubtotal="1">
            <x v="5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13"/>
          </reference>
          <reference field="13" count="1">
            <x v="2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13"/>
          </reference>
          <reference field="13" count="1" defaultSubtotal="1">
            <x v="2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13" count="1">
            <x v="15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13" count="1" defaultSubtotal="1">
            <x v="15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4"/>
          </reference>
          <reference field="13" count="1">
            <x v="20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4"/>
          </reference>
          <reference field="13" count="1" defaultSubtotal="1">
            <x v="20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4"/>
          </reference>
          <reference field="13" count="1">
            <x v="9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4"/>
          </reference>
          <reference field="13" count="1" defaultSubtotal="1">
            <x v="9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8"/>
          </reference>
          <reference field="13" count="1">
            <x v="35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8"/>
          </reference>
          <reference field="13" count="1" defaultSubtotal="1">
            <x v="35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9"/>
          </reference>
          <reference field="13" count="1">
            <x v="35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9"/>
          </reference>
          <reference field="13" count="1" defaultSubtotal="1">
            <x v="35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13" count="1">
            <x v="30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13" count="1" defaultSubtotal="1">
            <x v="30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10"/>
          </reference>
          <reference field="13" count="1">
            <x v="35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10"/>
          </reference>
          <reference field="13" count="1" defaultSubtotal="1">
            <x v="35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13"/>
          </reference>
          <reference field="13" count="1">
            <x v="8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13"/>
          </reference>
          <reference field="13" count="1" defaultSubtotal="1">
            <x v="8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4"/>
          </reference>
          <reference field="13" count="1">
            <x v="36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4"/>
          </reference>
          <reference field="13" count="1" defaultSubtotal="1">
            <x v="36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4"/>
          </reference>
          <reference field="13" count="1">
            <x v="11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4"/>
          </reference>
          <reference field="13" count="1" defaultSubtotal="1">
            <x v="11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14"/>
          </reference>
          <reference field="13" count="1">
            <x v="3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14"/>
          </reference>
          <reference field="13" count="1" defaultSubtotal="1">
            <x v="3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11"/>
          </reference>
          <reference field="13" count="1">
            <x v="40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11"/>
          </reference>
          <reference field="13" count="1" defaultSubtotal="1">
            <x v="40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13"/>
          </reference>
          <reference field="13" count="2">
            <x v="41"/>
            <x v="42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13"/>
          </reference>
          <reference field="13" count="2" defaultSubtotal="1">
            <x v="41"/>
            <x v="42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3"/>
          </reference>
          <reference field="13" count="1">
            <x v="32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3"/>
          </reference>
          <reference field="13" count="1" defaultSubtotal="1">
            <x v="32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13" count="1">
            <x v="20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13" count="1" defaultSubtotal="1">
            <x v="20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7"/>
          </reference>
          <reference field="13" count="1">
            <x v="34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7"/>
          </reference>
          <reference field="13" count="1" defaultSubtotal="1">
            <x v="34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4"/>
          </reference>
          <reference field="13" count="1">
            <x v="13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4"/>
          </reference>
          <reference field="13" count="1" defaultSubtotal="1">
            <x v="13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15"/>
          </reference>
          <reference field="13" count="2">
            <x v="9"/>
            <x v="10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15"/>
          </reference>
          <reference field="13" count="2" defaultSubtotal="1">
            <x v="9"/>
            <x v="10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4"/>
          </reference>
          <reference field="13" count="1">
            <x v="0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4"/>
          </reference>
          <reference field="13" count="1" defaultSubtotal="1">
            <x v="0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7"/>
          </reference>
          <reference field="13" count="2">
            <x v="14"/>
            <x v="19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7"/>
          </reference>
          <reference field="13" count="2" defaultSubtotal="1">
            <x v="14"/>
            <x v="19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2"/>
          </reference>
          <reference field="13" count="1">
            <x v="37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2"/>
          </reference>
          <reference field="13" count="1" defaultSubtotal="1">
            <x v="37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4"/>
          </reference>
          <reference field="13" count="1">
            <x v="1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4"/>
          </reference>
          <reference field="13" count="1" defaultSubtotal="1">
            <x v="1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16"/>
          </reference>
          <reference field="13" count="1">
            <x v="7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16"/>
          </reference>
          <reference field="13" count="1" defaultSubtotal="1">
            <x v="7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4"/>
          </reference>
          <reference field="13" count="2">
            <x v="24"/>
            <x v="26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4"/>
          </reference>
          <reference field="13" count="2" defaultSubtotal="1">
            <x v="24"/>
            <x v="26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13" count="1">
            <x v="21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13" count="1" defaultSubtotal="1">
            <x v="21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4"/>
          </reference>
          <reference field="13" count="2">
            <x v="6"/>
            <x v="22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4"/>
          </reference>
          <reference field="13" count="2" defaultSubtotal="1">
            <x v="6"/>
            <x v="22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5"/>
          </reference>
          <reference field="13" count="2">
            <x v="28"/>
            <x v="29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5"/>
          </reference>
          <reference field="13" count="2" defaultSubtotal="1">
            <x v="28"/>
            <x v="29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13"/>
          </reference>
          <reference field="13" count="1">
            <x v="25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13"/>
          </reference>
          <reference field="13" count="1" defaultSubtotal="1">
            <x v="25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13"/>
          </reference>
          <reference field="13" count="1">
            <x v="17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13"/>
          </reference>
          <reference field="13" count="1" defaultSubtotal="1">
            <x v="17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4"/>
          </reference>
          <reference field="13" count="1">
            <x v="8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4"/>
          </reference>
          <reference field="13" count="1" defaultSubtotal="1">
            <x v="8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15"/>
          </reference>
          <reference field="13" count="1">
            <x v="4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15"/>
          </reference>
          <reference field="13" count="1" defaultSubtotal="1">
            <x v="4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4"/>
          </reference>
          <reference field="13" count="1">
            <x v="9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4"/>
          </reference>
          <reference field="13" count="1" defaultSubtotal="1">
            <x v="9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5"/>
          </reference>
          <reference field="13" count="1">
            <x v="9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5"/>
          </reference>
          <reference field="13" count="1" defaultSubtotal="1">
            <x v="9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4"/>
          </reference>
          <reference field="13" count="1">
            <x v="39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4"/>
          </reference>
          <reference field="13" count="1" defaultSubtotal="1">
            <x v="39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4"/>
          </reference>
          <reference field="13" count="2">
            <x v="38"/>
            <x v="3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4"/>
          </reference>
          <reference field="13" count="2" defaultSubtotal="1">
            <x v="38"/>
            <x v="39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13" count="2">
            <x v="27"/>
            <x v="29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13" count="2" defaultSubtotal="1">
            <x v="27"/>
            <x v="29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4"/>
          </reference>
          <reference field="13" count="1">
            <x v="12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4"/>
          </reference>
          <reference field="13" count="1" defaultSubtotal="1">
            <x v="12"/>
          </reference>
        </references>
      </pivotArea>
    </format>
    <format dxfId="413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4"/>
          </reference>
          <reference field="13" count="1" selected="0">
            <x v="16"/>
          </reference>
          <reference field="20" count="1">
            <x v="2"/>
          </reference>
        </references>
      </pivotArea>
    </format>
    <format dxfId="412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4"/>
          </reference>
          <reference field="13" count="1" selected="0">
            <x v="18"/>
          </reference>
          <reference field="20" count="1">
            <x v="4"/>
          </reference>
        </references>
      </pivotArea>
    </format>
    <format dxfId="411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"/>
          </reference>
          <reference field="13" count="1" selected="0">
            <x v="33"/>
          </reference>
          <reference field="20" count="1">
            <x v="2"/>
          </reference>
        </references>
      </pivotArea>
    </format>
    <format dxfId="410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2"/>
          </reference>
          <reference field="13" count="1" selected="0">
            <x v="31"/>
          </reference>
          <reference field="20" count="1">
            <x v="8"/>
          </reference>
        </references>
      </pivotArea>
    </format>
    <format dxfId="40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3"/>
          </reference>
          <reference field="13" count="1" selected="0">
            <x v="23"/>
          </reference>
          <reference field="20" count="1">
            <x v="0"/>
          </reference>
        </references>
      </pivotArea>
    </format>
    <format dxfId="408">
      <pivotArea dataOnly="0" labelOnly="1" outline="0" fieldPosition="0">
        <references count="4">
          <reference field="0" count="1" selected="0">
            <x v="3"/>
          </reference>
          <reference field="2" count="1" selected="0">
            <x v="6"/>
          </reference>
          <reference field="13" count="1" selected="0">
            <x v="5"/>
          </reference>
          <reference field="20" count="1">
            <x v="6"/>
          </reference>
        </references>
      </pivotArea>
    </format>
    <format dxfId="40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13"/>
          </reference>
          <reference field="13" count="1" selected="0">
            <x v="2"/>
          </reference>
          <reference field="20" count="1">
            <x v="6"/>
          </reference>
        </references>
      </pivotArea>
    </format>
    <format dxfId="406">
      <pivotArea dataOnly="0" labelOnly="1" outline="0" fieldPosition="0">
        <references count="4">
          <reference field="0" count="1" selected="0">
            <x v="5"/>
          </reference>
          <reference field="2" count="1" selected="0">
            <x v="4"/>
          </reference>
          <reference field="13" count="1" selected="0">
            <x v="15"/>
          </reference>
          <reference field="20" count="1">
            <x v="5"/>
          </reference>
        </references>
      </pivotArea>
    </format>
    <format dxfId="40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4"/>
          </reference>
          <reference field="13" count="1" selected="0">
            <x v="20"/>
          </reference>
          <reference field="20" count="1">
            <x v="5"/>
          </reference>
        </references>
      </pivotArea>
    </format>
    <format dxfId="404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4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403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8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402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9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401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10"/>
          </reference>
          <reference field="13" count="1" selected="0">
            <x v="30"/>
          </reference>
          <reference field="20" count="1">
            <x v="5"/>
          </reference>
        </references>
      </pivotArea>
    </format>
    <format dxfId="400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10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399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13"/>
          </reference>
          <reference field="13" count="1" selected="0">
            <x v="8"/>
          </reference>
          <reference field="20" count="1">
            <x v="4"/>
          </reference>
        </references>
      </pivotArea>
    </format>
    <format dxfId="398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4"/>
          </reference>
          <reference field="13" count="1" selected="0">
            <x v="36"/>
          </reference>
          <reference field="20" count="1">
            <x v="2"/>
          </reference>
        </references>
      </pivotArea>
    </format>
    <format dxfId="397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4"/>
          </reference>
          <reference field="13" count="1" selected="0">
            <x v="11"/>
          </reference>
          <reference field="20" count="1">
            <x v="5"/>
          </reference>
        </references>
      </pivotArea>
    </format>
    <format dxfId="396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14"/>
          </reference>
          <reference field="13" count="1" selected="0">
            <x v="3"/>
          </reference>
          <reference field="20" count="1">
            <x v="9"/>
          </reference>
        </references>
      </pivotArea>
    </format>
    <format dxfId="395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11"/>
          </reference>
          <reference field="13" count="1" selected="0">
            <x v="40"/>
          </reference>
          <reference field="20" count="1">
            <x v="3"/>
          </reference>
        </references>
      </pivotArea>
    </format>
    <format dxfId="394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13"/>
          </reference>
          <reference field="13" count="1" selected="0">
            <x v="41"/>
          </reference>
          <reference field="20" count="1">
            <x v="4"/>
          </reference>
        </references>
      </pivotArea>
    </format>
    <format dxfId="39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13"/>
          </reference>
          <reference field="13" count="1" selected="0">
            <x v="42"/>
          </reference>
          <reference field="20" count="1">
            <x v="4"/>
          </reference>
        </references>
      </pivotArea>
    </format>
    <format dxfId="39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3"/>
          </reference>
          <reference field="13" count="1" selected="0">
            <x v="32"/>
          </reference>
          <reference field="20" count="1">
            <x v="0"/>
          </reference>
        </references>
      </pivotArea>
    </format>
    <format dxfId="39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13" count="1" selected="0">
            <x v="20"/>
          </reference>
          <reference field="20" count="1">
            <x v="5"/>
          </reference>
        </references>
      </pivotArea>
    </format>
    <format dxfId="390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7"/>
          </reference>
          <reference field="13" count="1" selected="0">
            <x v="34"/>
          </reference>
          <reference field="20" count="1">
            <x v="7"/>
          </reference>
        </references>
      </pivotArea>
    </format>
    <format dxfId="38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"/>
          </reference>
          <reference field="13" count="1" selected="0">
            <x v="13"/>
          </reference>
          <reference field="20" count="1">
            <x v="7"/>
          </reference>
        </references>
      </pivotArea>
    </format>
    <format dxfId="38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15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387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15"/>
          </reference>
          <reference field="13" count="1" selected="0">
            <x v="10"/>
          </reference>
          <reference field="20" count="1">
            <x v="7"/>
          </reference>
        </references>
      </pivotArea>
    </format>
    <format dxfId="386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14"/>
          </reference>
          <reference field="13" count="1" selected="0">
            <x v="0"/>
          </reference>
          <reference field="20" count="1">
            <x v="9"/>
          </reference>
        </references>
      </pivotArea>
    </format>
    <format dxfId="385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7"/>
          </reference>
          <reference field="13" count="1" selected="0">
            <x v="14"/>
          </reference>
          <reference field="20" count="1">
            <x v="9"/>
          </reference>
        </references>
      </pivotArea>
    </format>
    <format dxfId="384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7"/>
          </reference>
          <reference field="13" count="1" selected="0">
            <x v="19"/>
          </reference>
          <reference field="20" count="1">
            <x v="7"/>
          </reference>
        </references>
      </pivotArea>
    </format>
    <format dxfId="383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"/>
          </reference>
          <reference field="13" count="1" selected="0">
            <x v="37"/>
          </reference>
          <reference field="20" count="1">
            <x v="7"/>
          </reference>
        </references>
      </pivotArea>
    </format>
    <format dxfId="382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4"/>
          </reference>
          <reference field="13" count="1" selected="0">
            <x v="1"/>
          </reference>
          <reference field="20" count="1">
            <x v="1"/>
          </reference>
        </references>
      </pivotArea>
    </format>
    <format dxfId="381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16"/>
          </reference>
          <reference field="13" count="1" selected="0">
            <x v="7"/>
          </reference>
          <reference field="20" count="1">
            <x v="7"/>
          </reference>
        </references>
      </pivotArea>
    </format>
    <format dxfId="38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4"/>
          </reference>
          <reference field="13" count="1" selected="0">
            <x v="24"/>
          </reference>
          <reference field="20" count="1">
            <x v="5"/>
          </reference>
        </references>
      </pivotArea>
    </format>
    <format dxfId="379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4"/>
          </reference>
          <reference field="13" count="1" selected="0">
            <x v="26"/>
          </reference>
          <reference field="20" count="1">
            <x v="5"/>
          </reference>
        </references>
      </pivotArea>
    </format>
    <format dxfId="378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0"/>
          </reference>
          <reference field="13" count="1" selected="0">
            <x v="21"/>
          </reference>
          <reference field="20" count="1">
            <x v="7"/>
          </reference>
        </references>
      </pivotArea>
    </format>
    <format dxfId="377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4"/>
          </reference>
          <reference field="13" count="1" selected="0">
            <x v="6"/>
          </reference>
          <reference field="20" count="1">
            <x v="4"/>
          </reference>
        </references>
      </pivotArea>
    </format>
    <format dxfId="376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4"/>
          </reference>
          <reference field="13" count="1" selected="0">
            <x v="22"/>
          </reference>
          <reference field="20" count="1">
            <x v="3"/>
          </reference>
        </references>
      </pivotArea>
    </format>
    <format dxfId="375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5"/>
          </reference>
          <reference field="13" count="1" selected="0">
            <x v="28"/>
          </reference>
          <reference field="20" count="1">
            <x v="5"/>
          </reference>
        </references>
      </pivotArea>
    </format>
    <format dxfId="374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5"/>
          </reference>
          <reference field="13" count="1" selected="0">
            <x v="29"/>
          </reference>
          <reference field="20" count="1">
            <x v="5"/>
          </reference>
        </references>
      </pivotArea>
    </format>
    <format dxfId="373">
      <pivotArea dataOnly="0" labelOnly="1" outline="0" fieldPosition="0">
        <references count="4">
          <reference field="0" count="1" selected="0">
            <x v="29"/>
          </reference>
          <reference field="2" count="1" selected="0">
            <x v="13"/>
          </reference>
          <reference field="13" count="1" selected="0">
            <x v="25"/>
          </reference>
          <reference field="20" count="1">
            <x v="1"/>
          </reference>
        </references>
      </pivotArea>
    </format>
    <format dxfId="372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13"/>
          </reference>
          <reference field="13" count="1" selected="0">
            <x v="17"/>
          </reference>
          <reference field="20" count="1">
            <x v="4"/>
          </reference>
        </references>
      </pivotArea>
    </format>
    <format dxfId="371">
      <pivotArea dataOnly="0" labelOnly="1" outline="0" fieldPosition="0">
        <references count="4">
          <reference field="0" count="1" selected="0">
            <x v="31"/>
          </reference>
          <reference field="2" count="1" selected="0">
            <x v="4"/>
          </reference>
          <reference field="13" count="1" selected="0">
            <x v="8"/>
          </reference>
          <reference field="20" count="1">
            <x v="6"/>
          </reference>
        </references>
      </pivotArea>
    </format>
    <format dxfId="370">
      <pivotArea dataOnly="0" labelOnly="1" outline="0" fieldPosition="0">
        <references count="4">
          <reference field="0" count="1" selected="0">
            <x v="32"/>
          </reference>
          <reference field="2" count="1" selected="0">
            <x v="15"/>
          </reference>
          <reference field="13" count="1" selected="0">
            <x v="4"/>
          </reference>
          <reference field="20" count="1">
            <x v="7"/>
          </reference>
        </references>
      </pivotArea>
    </format>
    <format dxfId="369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4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368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15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367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4"/>
          </reference>
          <reference field="13" count="1" selected="0">
            <x v="39"/>
          </reference>
          <reference field="20" count="1">
            <x v="5"/>
          </reference>
        </references>
      </pivotArea>
    </format>
    <format dxfId="36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4"/>
          </reference>
          <reference field="13" count="1" selected="0">
            <x v="38"/>
          </reference>
          <reference field="20" count="1">
            <x v="5"/>
          </reference>
        </references>
      </pivotArea>
    </format>
    <format dxfId="36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4"/>
          </reference>
          <reference field="13" count="1" selected="0">
            <x v="39"/>
          </reference>
          <reference field="20" count="1">
            <x v="5"/>
          </reference>
        </references>
      </pivotArea>
    </format>
    <format dxfId="36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13" count="1" selected="0">
            <x v="27"/>
          </reference>
          <reference field="20" count="1">
            <x v="3"/>
          </reference>
        </references>
      </pivotArea>
    </format>
    <format dxfId="363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13" count="1" selected="0">
            <x v="29"/>
          </reference>
          <reference field="20" count="1">
            <x v="5"/>
          </reference>
        </references>
      </pivotArea>
    </format>
    <format dxfId="362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4"/>
          </reference>
          <reference field="13" count="1" selected="0">
            <x v="12"/>
          </reference>
          <reference field="20" count="1">
            <x v="5"/>
          </reference>
        </references>
      </pivotArea>
    </format>
    <format dxfId="361">
      <pivotArea dataOnly="0" labelOnly="1" outline="0" axis="axisValues" fieldPosition="0"/>
    </format>
    <format dxfId="360">
      <pivotArea outline="0" fieldPosition="0">
        <references count="2">
          <reference field="0" count="1" selected="0">
            <x v="1"/>
          </reference>
          <reference field="2" count="1" selected="0" defaultSubtotal="1">
            <x v="1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1"/>
          </reference>
        </references>
      </pivotArea>
    </format>
    <format dxfId="358">
      <pivotArea outline="0" fieldPosition="0">
        <references count="2">
          <reference field="0" count="1" selected="0">
            <x v="1"/>
          </reference>
          <reference field="2" count="1" selected="0" defaultSubtotal="1">
            <x v="12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12"/>
          </reference>
        </references>
      </pivotArea>
    </format>
    <format dxfId="356">
      <pivotArea outline="0" fieldPosition="0">
        <references count="2">
          <reference field="0" count="1" selected="0">
            <x v="2"/>
          </reference>
          <reference field="2" count="1" selected="0" defaultSubtotal="1">
            <x v="3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2"/>
          </reference>
          <reference field="2" count="1" defaultSubtotal="1">
            <x v="3"/>
          </reference>
        </references>
      </pivotArea>
    </format>
    <format dxfId="354">
      <pivotArea outline="0" fieldPosition="0">
        <references count="2">
          <reference field="0" count="1" selected="0">
            <x v="3"/>
          </reference>
          <reference field="2" count="1" selected="0" defaultSubtotal="1">
            <x v="6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3"/>
          </reference>
          <reference field="2" count="1" defaultSubtotal="1">
            <x v="6"/>
          </reference>
        </references>
      </pivotArea>
    </format>
    <format dxfId="352">
      <pivotArea outline="0" fieldPosition="0">
        <references count="2">
          <reference field="0" count="1" selected="0">
            <x v="4"/>
          </reference>
          <reference field="2" count="1" selected="0" defaultSubtotal="1">
            <x v="13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4"/>
          </reference>
          <reference field="2" count="1" defaultSubtotal="1">
            <x v="13"/>
          </reference>
        </references>
      </pivotArea>
    </format>
    <format dxfId="350">
      <pivotArea outline="0" fieldPosition="0">
        <references count="2">
          <reference field="0" count="1" selected="0">
            <x v="5"/>
          </reference>
          <reference field="2" count="1" selected="0" defaultSubtotal="1">
            <x v="4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5"/>
          </reference>
          <reference field="2" count="1" defaultSubtotal="1">
            <x v="4"/>
          </reference>
        </references>
      </pivotArea>
    </format>
    <format dxfId="348">
      <pivotArea outline="0" fieldPosition="0">
        <references count="2">
          <reference field="0" count="1" selected="0">
            <x v="6"/>
          </reference>
          <reference field="2" count="1" selected="0" defaultSubtotal="1">
            <x v="4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6"/>
          </reference>
          <reference field="2" count="1" defaultSubtotal="1">
            <x v="4"/>
          </reference>
        </references>
      </pivotArea>
    </format>
    <format dxfId="346">
      <pivotArea outline="0" fieldPosition="0">
        <references count="2">
          <reference field="0" count="1" selected="0">
            <x v="7"/>
          </reference>
          <reference field="2" count="1" selected="0" defaultSubtotal="1">
            <x v="4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7"/>
          </reference>
          <reference field="2" count="1" defaultSubtotal="1">
            <x v="4"/>
          </reference>
        </references>
      </pivotArea>
    </format>
    <format dxfId="344">
      <pivotArea outline="0" fieldPosition="0">
        <references count="2">
          <reference field="0" count="1" selected="0">
            <x v="8"/>
          </reference>
          <reference field="2" count="1" selected="0" defaultSubtotal="1">
            <x v="8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8"/>
          </reference>
        </references>
      </pivotArea>
    </format>
    <format dxfId="342">
      <pivotArea outline="0" fieldPosition="0">
        <references count="2">
          <reference field="0" count="1" selected="0">
            <x v="8"/>
          </reference>
          <reference field="2" count="1" selected="0" defaultSubtotal="1">
            <x v="9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9"/>
          </reference>
        </references>
      </pivotArea>
    </format>
    <format dxfId="340">
      <pivotArea outline="0" fieldPosition="0">
        <references count="2">
          <reference field="0" count="1" selected="0">
            <x v="8"/>
          </reference>
          <reference field="2" count="1" selected="0" defaultSubtotal="1">
            <x v="10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10"/>
          </reference>
        </references>
      </pivotArea>
    </format>
    <format dxfId="338">
      <pivotArea outline="0" fieldPosition="0">
        <references count="2">
          <reference field="0" count="1" selected="0">
            <x v="9"/>
          </reference>
          <reference field="2" count="1" selected="0" defaultSubtotal="1">
            <x v="1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9"/>
          </reference>
          <reference field="2" count="1" defaultSubtotal="1">
            <x v="10"/>
          </reference>
        </references>
      </pivotArea>
    </format>
    <format dxfId="336">
      <pivotArea outline="0" fieldPosition="0">
        <references count="2">
          <reference field="0" count="1" selected="0">
            <x v="10"/>
          </reference>
          <reference field="2" count="1" selected="0" defaultSubtotal="1">
            <x v="13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0"/>
          </reference>
          <reference field="2" count="1" defaultSubtotal="1">
            <x v="13"/>
          </reference>
        </references>
      </pivotArea>
    </format>
    <format dxfId="334">
      <pivotArea outline="0" fieldPosition="0">
        <references count="2">
          <reference field="0" count="1" selected="0">
            <x v="11"/>
          </reference>
          <reference field="2" count="1" selected="0" defaultSubtotal="1">
            <x v="4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1"/>
          </reference>
          <reference field="2" count="1" defaultSubtotal="1">
            <x v="4"/>
          </reference>
        </references>
      </pivotArea>
    </format>
    <format dxfId="332">
      <pivotArea outline="0" fieldPosition="0">
        <references count="2">
          <reference field="0" count="1" selected="0">
            <x v="12"/>
          </reference>
          <reference field="2" count="1" selected="0" defaultSubtotal="1">
            <x v="4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2"/>
          </reference>
          <reference field="2" count="1" defaultSubtotal="1">
            <x v="4"/>
          </reference>
        </references>
      </pivotArea>
    </format>
    <format dxfId="330">
      <pivotArea outline="0" fieldPosition="0">
        <references count="2">
          <reference field="0" count="1" selected="0">
            <x v="13"/>
          </reference>
          <reference field="2" count="1" selected="0" defaultSubtotal="1">
            <x v="14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3"/>
          </reference>
          <reference field="2" count="1" defaultSubtotal="1">
            <x v="14"/>
          </reference>
        </references>
      </pivotArea>
    </format>
    <format dxfId="328">
      <pivotArea outline="0" fieldPosition="0">
        <references count="2">
          <reference field="0" count="1" selected="0">
            <x v="14"/>
          </reference>
          <reference field="2" count="1" selected="0" defaultSubtotal="1">
            <x v="11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4"/>
          </reference>
          <reference field="2" count="1" defaultSubtotal="1">
            <x v="11"/>
          </reference>
        </references>
      </pivotArea>
    </format>
    <format dxfId="326">
      <pivotArea outline="0" fieldPosition="0">
        <references count="2">
          <reference field="0" count="1" selected="0">
            <x v="15"/>
          </reference>
          <reference field="2" count="1" selected="0" defaultSubtotal="1">
            <x v="13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5"/>
          </reference>
          <reference field="2" count="1" defaultSubtotal="1">
            <x v="13"/>
          </reference>
        </references>
      </pivotArea>
    </format>
    <format dxfId="324">
      <pivotArea outline="0" fieldPosition="0">
        <references count="2">
          <reference field="0" count="1" selected="0">
            <x v="16"/>
          </reference>
          <reference field="2" count="1" selected="0" defaultSubtotal="1">
            <x v="13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6"/>
          </reference>
          <reference field="2" count="1" defaultSubtotal="1">
            <x v="13"/>
          </reference>
        </references>
      </pivotArea>
    </format>
    <format dxfId="322">
      <pivotArea outline="0" fieldPosition="0">
        <references count="2">
          <reference field="0" count="1" selected="0">
            <x v="17"/>
          </reference>
          <reference field="2" count="1" selected="0" defaultSubtotal="1">
            <x v="4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17"/>
          </reference>
          <reference field="2" count="1" defaultSubtotal="1">
            <x v="4"/>
          </reference>
        </references>
      </pivotArea>
    </format>
    <format dxfId="320">
      <pivotArea outline="0" fieldPosition="0">
        <references count="2">
          <reference field="0" count="1" selected="0">
            <x v="18"/>
          </reference>
          <reference field="2" count="1" selected="0" defaultSubtotal="1">
            <x v="7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18"/>
          </reference>
          <reference field="2" count="1" defaultSubtotal="1">
            <x v="7"/>
          </reference>
        </references>
      </pivotArea>
    </format>
    <format dxfId="318">
      <pivotArea outline="0" fieldPosition="0">
        <references count="2">
          <reference field="0" count="1" selected="0">
            <x v="19"/>
          </reference>
          <reference field="2" count="1" selected="0" defaultSubtotal="1">
            <x v="4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9"/>
          </reference>
          <reference field="2" count="1" defaultSubtotal="1">
            <x v="4"/>
          </reference>
        </references>
      </pivotArea>
    </format>
    <format dxfId="316">
      <pivotArea outline="0" fieldPosition="0">
        <references count="2">
          <reference field="0" count="1" selected="0">
            <x v="20"/>
          </reference>
          <reference field="2" count="1" selected="0" defaultSubtotal="1">
            <x v="15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20"/>
          </reference>
          <reference field="2" count="1" defaultSubtotal="1">
            <x v="15"/>
          </reference>
        </references>
      </pivotArea>
    </format>
    <format dxfId="314">
      <pivotArea outline="0" fieldPosition="0">
        <references count="2">
          <reference field="0" count="1" selected="0">
            <x v="21"/>
          </reference>
          <reference field="2" count="1" selected="0" defaultSubtotal="1">
            <x v="14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21"/>
          </reference>
          <reference field="2" count="1" defaultSubtotal="1">
            <x v="14"/>
          </reference>
        </references>
      </pivotArea>
    </format>
    <format dxfId="312">
      <pivotArea outline="0" fieldPosition="0">
        <references count="2">
          <reference field="0" count="1" selected="0">
            <x v="22"/>
          </reference>
          <reference field="2" count="1" selected="0" defaultSubtotal="1">
            <x v="7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22"/>
          </reference>
          <reference field="2" count="1" defaultSubtotal="1">
            <x v="7"/>
          </reference>
        </references>
      </pivotArea>
    </format>
    <format dxfId="310">
      <pivotArea outline="0" fieldPosition="0">
        <references count="2">
          <reference field="0" count="1" selected="0">
            <x v="23"/>
          </reference>
          <reference field="2" count="1" selected="0" defaultSubtotal="1">
            <x v="2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23"/>
          </reference>
          <reference field="2" count="1" defaultSubtotal="1">
            <x v="2"/>
          </reference>
        </references>
      </pivotArea>
    </format>
    <format dxfId="308">
      <pivotArea outline="0" fieldPosition="0">
        <references count="2">
          <reference field="0" count="1" selected="0">
            <x v="24"/>
          </reference>
          <reference field="2" count="1" selected="0" defaultSubtotal="1">
            <x v="4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24"/>
          </reference>
          <reference field="2" count="1" defaultSubtotal="1">
            <x v="4"/>
          </reference>
        </references>
      </pivotArea>
    </format>
    <format dxfId="306">
      <pivotArea outline="0" fieldPosition="0">
        <references count="2">
          <reference field="0" count="1" selected="0">
            <x v="25"/>
          </reference>
          <reference field="2" count="1" selected="0" defaultSubtotal="1">
            <x v="16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25"/>
          </reference>
          <reference field="2" count="1" defaultSubtotal="1">
            <x v="16"/>
          </reference>
        </references>
      </pivotArea>
    </format>
    <format dxfId="304">
      <pivotArea outline="0" fieldPosition="0">
        <references count="2">
          <reference field="0" count="1" selected="0">
            <x v="26"/>
          </reference>
          <reference field="2" count="1" selected="0" defaultSubtotal="1">
            <x v="4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26"/>
          </reference>
          <reference field="2" count="1" defaultSubtotal="1">
            <x v="4"/>
          </reference>
        </references>
      </pivotArea>
    </format>
    <format dxfId="302">
      <pivotArea outline="0" fieldPosition="0">
        <references count="2">
          <reference field="0" count="1" selected="0">
            <x v="27"/>
          </reference>
          <reference field="2" count="1" selected="0" defaultSubtotal="1">
            <x v="0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27"/>
          </reference>
          <reference field="2" count="1" defaultSubtotal="1">
            <x v="0"/>
          </reference>
        </references>
      </pivotArea>
    </format>
    <format dxfId="300">
      <pivotArea outline="0" fieldPosition="0">
        <references count="2">
          <reference field="0" count="1" selected="0">
            <x v="28"/>
          </reference>
          <reference field="2" count="1" selected="0" defaultSubtotal="1">
            <x v="4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28"/>
          </reference>
          <reference field="2" count="1" defaultSubtotal="1">
            <x v="4"/>
          </reference>
        </references>
      </pivotArea>
    </format>
    <format dxfId="298">
      <pivotArea outline="0" fieldPosition="0">
        <references count="2">
          <reference field="0" count="1" selected="0">
            <x v="28"/>
          </reference>
          <reference field="2" count="1" selected="0" defaultSubtotal="1">
            <x v="5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28"/>
          </reference>
          <reference field="2" count="1" defaultSubtotal="1">
            <x v="5"/>
          </reference>
        </references>
      </pivotArea>
    </format>
    <format dxfId="296">
      <pivotArea outline="0" fieldPosition="0">
        <references count="2">
          <reference field="0" count="1" selected="0">
            <x v="29"/>
          </reference>
          <reference field="2" count="1" selected="0" defaultSubtotal="1">
            <x v="13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29"/>
          </reference>
          <reference field="2" count="1" defaultSubtotal="1">
            <x v="13"/>
          </reference>
        </references>
      </pivotArea>
    </format>
    <format dxfId="294">
      <pivotArea outline="0" fieldPosition="0">
        <references count="2">
          <reference field="0" count="1" selected="0">
            <x v="30"/>
          </reference>
          <reference field="2" count="1" selected="0" defaultSubtotal="1">
            <x v="13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30"/>
          </reference>
          <reference field="2" count="1" defaultSubtotal="1">
            <x v="13"/>
          </reference>
        </references>
      </pivotArea>
    </format>
    <format dxfId="292">
      <pivotArea outline="0" fieldPosition="0">
        <references count="2">
          <reference field="0" count="1" selected="0">
            <x v="31"/>
          </reference>
          <reference field="2" count="1" selected="0" defaultSubtotal="1">
            <x v="4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31"/>
          </reference>
          <reference field="2" count="1" defaultSubtotal="1">
            <x v="4"/>
          </reference>
        </references>
      </pivotArea>
    </format>
    <format dxfId="290">
      <pivotArea outline="0" fieldPosition="0">
        <references count="2">
          <reference field="0" count="1" selected="0">
            <x v="32"/>
          </reference>
          <reference field="2" count="1" selected="0" defaultSubtotal="1">
            <x v="15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32"/>
          </reference>
          <reference field="2" count="1" defaultSubtotal="1">
            <x v="15"/>
          </reference>
        </references>
      </pivotArea>
    </format>
    <format dxfId="288">
      <pivotArea outline="0" fieldPosition="0">
        <references count="2">
          <reference field="0" count="1" selected="0">
            <x v="33"/>
          </reference>
          <reference field="2" count="1" selected="0" defaultSubtotal="1">
            <x v="4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33"/>
          </reference>
          <reference field="2" count="1" defaultSubtotal="1">
            <x v="4"/>
          </reference>
        </references>
      </pivotArea>
    </format>
    <format dxfId="286">
      <pivotArea outline="0" fieldPosition="0">
        <references count="2">
          <reference field="0" count="1" selected="0">
            <x v="33"/>
          </reference>
          <reference field="2" count="1" selected="0" defaultSubtotal="1">
            <x v="15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33"/>
          </reference>
          <reference field="2" count="1" defaultSubtotal="1">
            <x v="15"/>
          </reference>
        </references>
      </pivotArea>
    </format>
    <format dxfId="284">
      <pivotArea outline="0" fieldPosition="0">
        <references count="2">
          <reference field="0" count="1" selected="0">
            <x v="34"/>
          </reference>
          <reference field="2" count="1" selected="0" defaultSubtotal="1">
            <x v="4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34"/>
          </reference>
          <reference field="2" count="1" defaultSubtotal="1">
            <x v="4"/>
          </reference>
        </references>
      </pivotArea>
    </format>
    <format dxfId="282">
      <pivotArea outline="0" fieldPosition="0">
        <references count="2">
          <reference field="0" count="1" selected="0">
            <x v="35"/>
          </reference>
          <reference field="2" count="1" selected="0" defaultSubtotal="1">
            <x v="4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35"/>
          </reference>
          <reference field="2" count="1" defaultSubtotal="1">
            <x v="4"/>
          </reference>
        </references>
      </pivotArea>
    </format>
    <format dxfId="280">
      <pivotArea outline="0" fieldPosition="0">
        <references count="2">
          <reference field="0" count="1" selected="0">
            <x v="36"/>
          </reference>
          <reference field="2" count="1" selected="0" defaultSubtotal="1">
            <x v="4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36"/>
          </reference>
          <reference field="2" count="1" defaultSubtotal="1">
            <x v="4"/>
          </reference>
        </references>
      </pivotArea>
    </format>
    <format dxfId="278">
      <pivotArea outline="0" fieldPosition="0">
        <references count="2">
          <reference field="0" count="1" selected="0">
            <x v="37"/>
          </reference>
          <reference field="2" count="1" selected="0" defaultSubtotal="1">
            <x v="4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37"/>
          </reference>
          <reference field="2" count="1" defaultSubtotal="1">
            <x v="4"/>
          </reference>
        </references>
      </pivotArea>
    </format>
    <format dxfId="276">
      <pivotArea type="all" dataOnly="0" outline="0" fieldPosition="0"/>
    </format>
    <format dxfId="275">
      <pivotArea outline="0" collapsedLevelsAreSubtotals="1" fieldPosition="0"/>
    </format>
    <format dxfId="274">
      <pivotArea field="0" type="button" dataOnly="0" labelOnly="1" outline="0" axis="axisRow" fieldPosition="0"/>
    </format>
    <format dxfId="273">
      <pivotArea field="2" type="button" dataOnly="0" labelOnly="1" outline="0" axis="axisRow" fieldPosition="1"/>
    </format>
    <format dxfId="272">
      <pivotArea field="13" type="button" dataOnly="0" labelOnly="1" outline="0" axis="axisRow" fieldPosition="2"/>
    </format>
    <format dxfId="271">
      <pivotArea field="20" type="button" dataOnly="0" labelOnly="1" outline="0" axis="axisRow" fieldPosition="3"/>
    </format>
    <format dxfId="270">
      <pivotArea dataOnly="0" labelOnly="1" outline="0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69">
      <pivotArea dataOnly="0" labelOnly="1" outline="0" fieldPosition="0">
        <references count="1">
          <reference field="0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68">
      <pivotArea dataOnly="0" labelOnly="1" outline="0" fieldPosition="0">
        <references count="1">
          <reference field="0" count="13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267">
      <pivotArea dataOnly="0" labelOnly="1" outline="0" fieldPosition="0">
        <references count="1">
          <reference field="0" count="13" defaultSubtotal="1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266">
      <pivotArea dataOnly="0" labelOnly="1" grandRow="1" outline="0" fieldPosition="0"/>
    </format>
    <format dxfId="265">
      <pivotArea dataOnly="0" labelOnly="1" outline="0" fieldPosition="0">
        <references count="2">
          <reference field="0" count="1" selected="0">
            <x v="0"/>
          </reference>
          <reference field="2" count="1">
            <x v="4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0"/>
          </reference>
          <reference field="2" count="1" defaultSubtotal="1">
            <x v="4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"/>
          </reference>
          <reference field="2" count="2">
            <x v="1"/>
            <x v="12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"/>
          </reference>
          <reference field="2" count="2" defaultSubtotal="1">
            <x v="1"/>
            <x v="12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"/>
          </reference>
          <reference field="2" count="1">
            <x v="3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3"/>
          </reference>
          <reference field="2" count="1">
            <x v="6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4"/>
          </reference>
          <reference field="2" count="1">
            <x v="13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5"/>
          </reference>
          <reference field="2" count="1">
            <x v="4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6"/>
          </reference>
          <reference field="2" count="1">
            <x v="4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7"/>
          </reference>
          <reference field="2" count="1">
            <x v="4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8"/>
          </reference>
          <reference field="2" count="3">
            <x v="8"/>
            <x v="9"/>
            <x v="10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8"/>
          </reference>
          <reference field="2" count="3" defaultSubtotal="1">
            <x v="8"/>
            <x v="9"/>
            <x v="10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0"/>
          </reference>
          <reference field="2" count="1">
            <x v="13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1"/>
          </reference>
          <reference field="2" count="1">
            <x v="4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12"/>
          </reference>
          <reference field="2" count="1">
            <x v="4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3"/>
          </reference>
          <reference field="2" count="1">
            <x v="14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4"/>
          </reference>
          <reference field="2" count="1">
            <x v="11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5"/>
          </reference>
          <reference field="2" count="1">
            <x v="13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6"/>
          </reference>
          <reference field="2" count="1">
            <x v="13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8"/>
          </reference>
          <reference field="2" count="1">
            <x v="7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9"/>
          </reference>
          <reference field="2" count="1">
            <x v="4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20"/>
          </reference>
          <reference field="2" count="1">
            <x v="15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21"/>
          </reference>
          <reference field="2" count="1">
            <x v="14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22"/>
          </reference>
          <reference field="2" count="1">
            <x v="7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23"/>
          </reference>
          <reference field="2" count="1">
            <x v="2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24"/>
          </reference>
          <reference field="2" count="1">
            <x v="4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25"/>
          </reference>
          <reference field="2" count="1">
            <x v="16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26"/>
          </reference>
          <reference field="2" count="1">
            <x v="4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27"/>
          </reference>
          <reference field="2" count="1">
            <x v="0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28"/>
          </reference>
          <reference field="2" count="2">
            <x v="4"/>
            <x v="5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28"/>
          </reference>
          <reference field="2" count="2" defaultSubtotal="1">
            <x v="4"/>
            <x v="5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29"/>
          </reference>
          <reference field="2" count="1">
            <x v="13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30"/>
          </reference>
          <reference field="2" count="1">
            <x v="13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31"/>
          </reference>
          <reference field="2" count="1">
            <x v="4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32"/>
          </reference>
          <reference field="2" count="1">
            <x v="15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33"/>
          </reference>
          <reference field="2" count="2">
            <x v="4"/>
            <x v="15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33"/>
          </reference>
          <reference field="2" count="2" defaultSubtotal="1">
            <x v="4"/>
            <x v="15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34"/>
          </reference>
          <reference field="2" count="1">
            <x v="4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35"/>
          </reference>
          <reference field="2" count="1">
            <x v="4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36"/>
          </reference>
          <reference field="2" count="1">
            <x v="4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37"/>
          </reference>
          <reference field="2" count="1">
            <x v="4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4"/>
          </reference>
          <reference field="13" count="2">
            <x v="16"/>
            <x v="18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4"/>
          </reference>
          <reference field="13" count="2" defaultSubtotal="1">
            <x v="16"/>
            <x v="18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"/>
          </reference>
          <reference field="13" count="1">
            <x v="33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"/>
          </reference>
          <reference field="13" count="1" defaultSubtotal="1">
            <x v="33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2"/>
          </reference>
          <reference field="13" count="1">
            <x v="31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12"/>
          </reference>
          <reference field="13" count="1" defaultSubtotal="1">
            <x v="31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3"/>
          </reference>
          <reference field="13" count="1">
            <x v="23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3"/>
          </reference>
          <reference field="13" count="1" defaultSubtotal="1">
            <x v="23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6"/>
          </reference>
          <reference field="13" count="1">
            <x v="5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6"/>
          </reference>
          <reference field="13" count="1" defaultSubtotal="1">
            <x v="5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13"/>
          </reference>
          <reference field="13" count="1">
            <x v="2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13"/>
          </reference>
          <reference field="13" count="1" defaultSubtotal="1">
            <x v="2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13" count="1">
            <x v="15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13" count="1" defaultSubtotal="1">
            <x v="15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4"/>
          </reference>
          <reference field="13" count="1">
            <x v="2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4"/>
          </reference>
          <reference field="13" count="1" defaultSubtotal="1">
            <x v="20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4"/>
          </reference>
          <reference field="13" count="1">
            <x v="9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4"/>
          </reference>
          <reference field="13" count="1" defaultSubtotal="1">
            <x v="9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8"/>
          </reference>
          <reference field="13" count="1">
            <x v="35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8"/>
          </reference>
          <reference field="13" count="1" defaultSubtotal="1">
            <x v="35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9"/>
          </reference>
          <reference field="13" count="1">
            <x v="35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9"/>
          </reference>
          <reference field="13" count="1" defaultSubtotal="1">
            <x v="35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13" count="1">
            <x v="30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13" count="1" defaultSubtotal="1">
            <x v="30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10"/>
          </reference>
          <reference field="13" count="1">
            <x v="35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10"/>
          </reference>
          <reference field="13" count="1" defaultSubtotal="1">
            <x v="35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13"/>
          </reference>
          <reference field="13" count="1">
            <x v="8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13"/>
          </reference>
          <reference field="13" count="1" defaultSubtotal="1">
            <x v="8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4"/>
          </reference>
          <reference field="13" count="1">
            <x v="36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4"/>
          </reference>
          <reference field="13" count="1" defaultSubtotal="1">
            <x v="36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4"/>
          </reference>
          <reference field="13" count="1">
            <x v="11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4"/>
          </reference>
          <reference field="13" count="1" defaultSubtotal="1">
            <x v="11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14"/>
          </reference>
          <reference field="13" count="1">
            <x v="3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14"/>
          </reference>
          <reference field="13" count="1" defaultSubtotal="1">
            <x v="3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11"/>
          </reference>
          <reference field="13" count="1">
            <x v="40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11"/>
          </reference>
          <reference field="13" count="1" defaultSubtotal="1">
            <x v="40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13"/>
          </reference>
          <reference field="13" count="2">
            <x v="41"/>
            <x v="42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13"/>
          </reference>
          <reference field="13" count="2" defaultSubtotal="1">
            <x v="41"/>
            <x v="42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3"/>
          </reference>
          <reference field="13" count="1">
            <x v="32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3"/>
          </reference>
          <reference field="13" count="1" defaultSubtotal="1">
            <x v="32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13" count="1">
            <x v="20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13" count="1" defaultSubtotal="1">
            <x v="20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7"/>
          </reference>
          <reference field="13" count="1">
            <x v="34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7"/>
          </reference>
          <reference field="13" count="1" defaultSubtotal="1">
            <x v="34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4"/>
          </reference>
          <reference field="13" count="1">
            <x v="13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4"/>
          </reference>
          <reference field="13" count="1" defaultSubtotal="1">
            <x v="13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15"/>
          </reference>
          <reference field="13" count="2">
            <x v="9"/>
            <x v="10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15"/>
          </reference>
          <reference field="13" count="2" defaultSubtotal="1">
            <x v="9"/>
            <x v="10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4"/>
          </reference>
          <reference field="13" count="1">
            <x v="0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4"/>
          </reference>
          <reference field="13" count="1" defaultSubtotal="1">
            <x v="0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7"/>
          </reference>
          <reference field="13" count="2">
            <x v="14"/>
            <x v="19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7"/>
          </reference>
          <reference field="13" count="2" defaultSubtotal="1">
            <x v="14"/>
            <x v="19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2"/>
          </reference>
          <reference field="13" count="1">
            <x v="37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2"/>
          </reference>
          <reference field="13" count="1" defaultSubtotal="1">
            <x v="37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4"/>
          </reference>
          <reference field="13" count="1">
            <x v="1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4"/>
          </reference>
          <reference field="13" count="1" defaultSubtotal="1">
            <x v="1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16"/>
          </reference>
          <reference field="13" count="1">
            <x v="7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16"/>
          </reference>
          <reference field="13" count="1" defaultSubtotal="1">
            <x v="7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4"/>
          </reference>
          <reference field="13" count="2">
            <x v="24"/>
            <x v="26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4"/>
          </reference>
          <reference field="13" count="2" defaultSubtotal="1">
            <x v="24"/>
            <x v="26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13" count="1">
            <x v="21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13" count="1" defaultSubtotal="1">
            <x v="21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4"/>
          </reference>
          <reference field="13" count="2">
            <x v="6"/>
            <x v="22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4"/>
          </reference>
          <reference field="13" count="2" defaultSubtotal="1">
            <x v="6"/>
            <x v="22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5"/>
          </reference>
          <reference field="13" count="2">
            <x v="28"/>
            <x v="29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5"/>
          </reference>
          <reference field="13" count="2" defaultSubtotal="1">
            <x v="28"/>
            <x v="29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13"/>
          </reference>
          <reference field="13" count="1">
            <x v="25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13"/>
          </reference>
          <reference field="13" count="1" defaultSubtotal="1">
            <x v="25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13"/>
          </reference>
          <reference field="13" count="1">
            <x v="17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13"/>
          </reference>
          <reference field="13" count="1" defaultSubtotal="1">
            <x v="17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4"/>
          </reference>
          <reference field="13" count="1">
            <x v="8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4"/>
          </reference>
          <reference field="13" count="1" defaultSubtotal="1">
            <x v="8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15"/>
          </reference>
          <reference field="13" count="1">
            <x v="4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15"/>
          </reference>
          <reference field="13" count="1" defaultSubtotal="1">
            <x v="4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4"/>
          </reference>
          <reference field="13" count="1">
            <x v="9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4"/>
          </reference>
          <reference field="13" count="1" defaultSubtotal="1">
            <x v="9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5"/>
          </reference>
          <reference field="13" count="1">
            <x v="9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5"/>
          </reference>
          <reference field="13" count="1" defaultSubtotal="1">
            <x v="9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4"/>
          </reference>
          <reference field="13" count="1">
            <x v="39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4"/>
          </reference>
          <reference field="13" count="1" defaultSubtotal="1">
            <x v="39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4"/>
          </reference>
          <reference field="13" count="2">
            <x v="38"/>
            <x v="39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4"/>
          </reference>
          <reference field="13" count="2" defaultSubtotal="1">
            <x v="38"/>
            <x v="39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13" count="2">
            <x v="27"/>
            <x v="29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13" count="2" defaultSubtotal="1">
            <x v="27"/>
            <x v="29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4"/>
          </reference>
          <reference field="13" count="1">
            <x v="12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4"/>
          </reference>
          <reference field="13" count="1" defaultSubtotal="1">
            <x v="12"/>
          </reference>
        </references>
      </pivotArea>
    </format>
    <format dxfId="136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4"/>
          </reference>
          <reference field="13" count="1" selected="0">
            <x v="16"/>
          </reference>
          <reference field="20" count="1">
            <x v="2"/>
          </reference>
        </references>
      </pivotArea>
    </format>
    <format dxfId="135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4"/>
          </reference>
          <reference field="13" count="1" selected="0">
            <x v="18"/>
          </reference>
          <reference field="20" count="1">
            <x v="4"/>
          </reference>
        </references>
      </pivotArea>
    </format>
    <format dxfId="134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"/>
          </reference>
          <reference field="13" count="1" selected="0">
            <x v="33"/>
          </reference>
          <reference field="20" count="1">
            <x v="2"/>
          </reference>
        </references>
      </pivotArea>
    </format>
    <format dxfId="133">
      <pivotArea dataOnly="0" labelOnly="1" outline="0" fieldPosition="0">
        <references count="4">
          <reference field="0" count="1" selected="0">
            <x v="1"/>
          </reference>
          <reference field="2" count="1" selected="0">
            <x v="12"/>
          </reference>
          <reference field="13" count="1" selected="0">
            <x v="31"/>
          </reference>
          <reference field="20" count="1">
            <x v="8"/>
          </reference>
        </references>
      </pivotArea>
    </format>
    <format dxfId="13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3"/>
          </reference>
          <reference field="13" count="1" selected="0">
            <x v="23"/>
          </reference>
          <reference field="20" count="1">
            <x v="0"/>
          </reference>
        </references>
      </pivotArea>
    </format>
    <format dxfId="131">
      <pivotArea dataOnly="0" labelOnly="1" outline="0" fieldPosition="0">
        <references count="4">
          <reference field="0" count="1" selected="0">
            <x v="3"/>
          </reference>
          <reference field="2" count="1" selected="0">
            <x v="6"/>
          </reference>
          <reference field="13" count="1" selected="0">
            <x v="5"/>
          </reference>
          <reference field="20" count="1">
            <x v="6"/>
          </reference>
        </references>
      </pivotArea>
    </format>
    <format dxfId="130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13"/>
          </reference>
          <reference field="13" count="1" selected="0">
            <x v="2"/>
          </reference>
          <reference field="20" count="1">
            <x v="6"/>
          </reference>
        </references>
      </pivotArea>
    </format>
    <format dxfId="129">
      <pivotArea dataOnly="0" labelOnly="1" outline="0" fieldPosition="0">
        <references count="4">
          <reference field="0" count="1" selected="0">
            <x v="5"/>
          </reference>
          <reference field="2" count="1" selected="0">
            <x v="4"/>
          </reference>
          <reference field="13" count="1" selected="0">
            <x v="15"/>
          </reference>
          <reference field="20" count="1">
            <x v="5"/>
          </reference>
        </references>
      </pivotArea>
    </format>
    <format dxfId="128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4"/>
          </reference>
          <reference field="13" count="1" selected="0">
            <x v="20"/>
          </reference>
          <reference field="20" count="1">
            <x v="5"/>
          </reference>
        </references>
      </pivotArea>
    </format>
    <format dxfId="12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4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126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8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12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9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12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10"/>
          </reference>
          <reference field="13" count="1" selected="0">
            <x v="30"/>
          </reference>
          <reference field="20" count="1">
            <x v="5"/>
          </reference>
        </references>
      </pivotArea>
    </format>
    <format dxfId="123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10"/>
          </reference>
          <reference field="13" count="1" selected="0">
            <x v="35"/>
          </reference>
          <reference field="20" count="1">
            <x v="8"/>
          </reference>
        </references>
      </pivotArea>
    </format>
    <format dxfId="122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13"/>
          </reference>
          <reference field="13" count="1" selected="0">
            <x v="8"/>
          </reference>
          <reference field="20" count="1">
            <x v="4"/>
          </reference>
        </references>
      </pivotArea>
    </format>
    <format dxfId="121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4"/>
          </reference>
          <reference field="13" count="1" selected="0">
            <x v="36"/>
          </reference>
          <reference field="20" count="1">
            <x v="2"/>
          </reference>
        </references>
      </pivotArea>
    </format>
    <format dxfId="120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4"/>
          </reference>
          <reference field="13" count="1" selected="0">
            <x v="11"/>
          </reference>
          <reference field="20" count="1">
            <x v="5"/>
          </reference>
        </references>
      </pivotArea>
    </format>
    <format dxfId="119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14"/>
          </reference>
          <reference field="13" count="1" selected="0">
            <x v="3"/>
          </reference>
          <reference field="20" count="1">
            <x v="9"/>
          </reference>
        </references>
      </pivotArea>
    </format>
    <format dxfId="11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11"/>
          </reference>
          <reference field="13" count="1" selected="0">
            <x v="40"/>
          </reference>
          <reference field="20" count="1">
            <x v="3"/>
          </reference>
        </references>
      </pivotArea>
    </format>
    <format dxfId="11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13"/>
          </reference>
          <reference field="13" count="1" selected="0">
            <x v="41"/>
          </reference>
          <reference field="20" count="1">
            <x v="4"/>
          </reference>
        </references>
      </pivotArea>
    </format>
    <format dxfId="116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13"/>
          </reference>
          <reference field="13" count="1" selected="0">
            <x v="42"/>
          </reference>
          <reference field="20" count="1">
            <x v="4"/>
          </reference>
        </references>
      </pivotArea>
    </format>
    <format dxfId="115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3"/>
          </reference>
          <reference field="13" count="1" selected="0">
            <x v="32"/>
          </reference>
          <reference field="20" count="1">
            <x v="0"/>
          </reference>
        </references>
      </pivotArea>
    </format>
    <format dxfId="114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13" count="1" selected="0">
            <x v="20"/>
          </reference>
          <reference field="20" count="1">
            <x v="5"/>
          </reference>
        </references>
      </pivotArea>
    </format>
    <format dxfId="113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7"/>
          </reference>
          <reference field="13" count="1" selected="0">
            <x v="34"/>
          </reference>
          <reference field="20" count="1">
            <x v="7"/>
          </reference>
        </references>
      </pivotArea>
    </format>
    <format dxfId="11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"/>
          </reference>
          <reference field="13" count="1" selected="0">
            <x v="13"/>
          </reference>
          <reference field="20" count="1">
            <x v="7"/>
          </reference>
        </references>
      </pivotArea>
    </format>
    <format dxfId="11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15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11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15"/>
          </reference>
          <reference field="13" count="1" selected="0">
            <x v="10"/>
          </reference>
          <reference field="20" count="1">
            <x v="7"/>
          </reference>
        </references>
      </pivotArea>
    </format>
    <format dxfId="10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14"/>
          </reference>
          <reference field="13" count="1" selected="0">
            <x v="0"/>
          </reference>
          <reference field="20" count="1">
            <x v="9"/>
          </reference>
        </references>
      </pivotArea>
    </format>
    <format dxfId="108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7"/>
          </reference>
          <reference field="13" count="1" selected="0">
            <x v="14"/>
          </reference>
          <reference field="20" count="1">
            <x v="9"/>
          </reference>
        </references>
      </pivotArea>
    </format>
    <format dxfId="10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7"/>
          </reference>
          <reference field="13" count="1" selected="0">
            <x v="19"/>
          </reference>
          <reference field="20" count="1">
            <x v="7"/>
          </reference>
        </references>
      </pivotArea>
    </format>
    <format dxfId="106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"/>
          </reference>
          <reference field="13" count="1" selected="0">
            <x v="37"/>
          </reference>
          <reference field="20" count="1">
            <x v="7"/>
          </reference>
        </references>
      </pivotArea>
    </format>
    <format dxfId="105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4"/>
          </reference>
          <reference field="13" count="1" selected="0">
            <x v="1"/>
          </reference>
          <reference field="20" count="1">
            <x v="1"/>
          </reference>
        </references>
      </pivotArea>
    </format>
    <format dxfId="104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16"/>
          </reference>
          <reference field="13" count="1" selected="0">
            <x v="7"/>
          </reference>
          <reference field="20" count="1">
            <x v="7"/>
          </reference>
        </references>
      </pivotArea>
    </format>
    <format dxfId="103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4"/>
          </reference>
          <reference field="13" count="1" selected="0">
            <x v="24"/>
          </reference>
          <reference field="20" count="1">
            <x v="5"/>
          </reference>
        </references>
      </pivotArea>
    </format>
    <format dxfId="102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4"/>
          </reference>
          <reference field="13" count="1" selected="0">
            <x v="26"/>
          </reference>
          <reference field="20" count="1">
            <x v="5"/>
          </reference>
        </references>
      </pivotArea>
    </format>
    <format dxfId="101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0"/>
          </reference>
          <reference field="13" count="1" selected="0">
            <x v="21"/>
          </reference>
          <reference field="20" count="1">
            <x v="7"/>
          </reference>
        </references>
      </pivotArea>
    </format>
    <format dxfId="100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4"/>
          </reference>
          <reference field="13" count="1" selected="0">
            <x v="6"/>
          </reference>
          <reference field="20" count="1">
            <x v="4"/>
          </reference>
        </references>
      </pivotArea>
    </format>
    <format dxfId="99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4"/>
          </reference>
          <reference field="13" count="1" selected="0">
            <x v="22"/>
          </reference>
          <reference field="20" count="1">
            <x v="3"/>
          </reference>
        </references>
      </pivotArea>
    </format>
    <format dxfId="98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5"/>
          </reference>
          <reference field="13" count="1" selected="0">
            <x v="28"/>
          </reference>
          <reference field="20" count="1">
            <x v="5"/>
          </reference>
        </references>
      </pivotArea>
    </format>
    <format dxfId="97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5"/>
          </reference>
          <reference field="13" count="1" selected="0">
            <x v="29"/>
          </reference>
          <reference field="20" count="1">
            <x v="5"/>
          </reference>
        </references>
      </pivotArea>
    </format>
    <format dxfId="96">
      <pivotArea dataOnly="0" labelOnly="1" outline="0" fieldPosition="0">
        <references count="4">
          <reference field="0" count="1" selected="0">
            <x v="29"/>
          </reference>
          <reference field="2" count="1" selected="0">
            <x v="13"/>
          </reference>
          <reference field="13" count="1" selected="0">
            <x v="25"/>
          </reference>
          <reference field="20" count="1">
            <x v="1"/>
          </reference>
        </references>
      </pivotArea>
    </format>
    <format dxfId="95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13"/>
          </reference>
          <reference field="13" count="1" selected="0">
            <x v="17"/>
          </reference>
          <reference field="20" count="1">
            <x v="4"/>
          </reference>
        </references>
      </pivotArea>
    </format>
    <format dxfId="94">
      <pivotArea dataOnly="0" labelOnly="1" outline="0" fieldPosition="0">
        <references count="4">
          <reference field="0" count="1" selected="0">
            <x v="31"/>
          </reference>
          <reference field="2" count="1" selected="0">
            <x v="4"/>
          </reference>
          <reference field="13" count="1" selected="0">
            <x v="8"/>
          </reference>
          <reference field="20" count="1">
            <x v="6"/>
          </reference>
        </references>
      </pivotArea>
    </format>
    <format dxfId="93">
      <pivotArea dataOnly="0" labelOnly="1" outline="0" fieldPosition="0">
        <references count="4">
          <reference field="0" count="1" selected="0">
            <x v="32"/>
          </reference>
          <reference field="2" count="1" selected="0">
            <x v="15"/>
          </reference>
          <reference field="13" count="1" selected="0">
            <x v="4"/>
          </reference>
          <reference field="20" count="1">
            <x v="7"/>
          </reference>
        </references>
      </pivotArea>
    </format>
    <format dxfId="9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4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9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15"/>
          </reference>
          <reference field="13" count="1" selected="0">
            <x v="9"/>
          </reference>
          <reference field="20" count="1">
            <x v="7"/>
          </reference>
        </references>
      </pivotArea>
    </format>
    <format dxfId="90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4"/>
          </reference>
          <reference field="13" count="1" selected="0">
            <x v="39"/>
          </reference>
          <reference field="20" count="1">
            <x v="5"/>
          </reference>
        </references>
      </pivotArea>
    </format>
    <format dxfId="8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4"/>
          </reference>
          <reference field="13" count="1" selected="0">
            <x v="38"/>
          </reference>
          <reference field="20" count="1">
            <x v="5"/>
          </reference>
        </references>
      </pivotArea>
    </format>
    <format dxfId="88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4"/>
          </reference>
          <reference field="13" count="1" selected="0">
            <x v="39"/>
          </reference>
          <reference field="20" count="1">
            <x v="5"/>
          </reference>
        </references>
      </pivotArea>
    </format>
    <format dxfId="87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13" count="1" selected="0">
            <x v="27"/>
          </reference>
          <reference field="20" count="1">
            <x v="3"/>
          </reference>
        </references>
      </pivotArea>
    </format>
    <format dxfId="86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13" count="1" selected="0">
            <x v="29"/>
          </reference>
          <reference field="20" count="1">
            <x v="5"/>
          </reference>
        </references>
      </pivotArea>
    </format>
    <format dxfId="85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4"/>
          </reference>
          <reference field="13" count="1" selected="0">
            <x v="12"/>
          </reference>
          <reference field="20" count="1">
            <x v="5"/>
          </reference>
        </references>
      </pivotArea>
    </format>
    <format dxfId="84">
      <pivotArea dataOnly="0" labelOnly="1" outline="0" axis="axisValues" fieldPosition="0"/>
    </format>
    <format dxfId="83">
      <pivotArea outline="0" fieldPosition="0">
        <references count="2">
          <reference field="0" count="1" selected="0">
            <x v="1"/>
          </reference>
          <reference field="2" count="1" selected="0" defaultSubtotal="1">
            <x v="1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1"/>
          </reference>
        </references>
      </pivotArea>
    </format>
    <format dxfId="81">
      <pivotArea outline="0" fieldPosition="0">
        <references count="2">
          <reference field="0" count="1" selected="0">
            <x v="1"/>
          </reference>
          <reference field="2" count="1" selected="0" defaultSubtotal="1">
            <x v="12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"/>
          </reference>
          <reference field="2" count="1" defaultSubtotal="1">
            <x v="12"/>
          </reference>
        </references>
      </pivotArea>
    </format>
    <format dxfId="79">
      <pivotArea outline="0" fieldPosition="0">
        <references count="2">
          <reference field="0" count="1" selected="0">
            <x v="2"/>
          </reference>
          <reference field="2" count="1" selected="0" defaultSubtotal="1">
            <x v="3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2"/>
          </reference>
          <reference field="2" count="1" defaultSubtotal="1">
            <x v="3"/>
          </reference>
        </references>
      </pivotArea>
    </format>
    <format dxfId="77">
      <pivotArea outline="0" fieldPosition="0">
        <references count="2">
          <reference field="0" count="1" selected="0">
            <x v="3"/>
          </reference>
          <reference field="2" count="1" selected="0" defaultSubtotal="1">
            <x v="6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3"/>
          </reference>
          <reference field="2" count="1" defaultSubtotal="1">
            <x v="6"/>
          </reference>
        </references>
      </pivotArea>
    </format>
    <format dxfId="75">
      <pivotArea outline="0" fieldPosition="0">
        <references count="2">
          <reference field="0" count="1" selected="0">
            <x v="4"/>
          </reference>
          <reference field="2" count="1" selected="0" defaultSubtotal="1">
            <x v="13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4"/>
          </reference>
          <reference field="2" count="1" defaultSubtotal="1">
            <x v="13"/>
          </reference>
        </references>
      </pivotArea>
    </format>
    <format dxfId="73">
      <pivotArea outline="0" fieldPosition="0">
        <references count="2">
          <reference field="0" count="1" selected="0">
            <x v="5"/>
          </reference>
          <reference field="2" count="1" selected="0" defaultSubtotal="1">
            <x v="4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5"/>
          </reference>
          <reference field="2" count="1" defaultSubtotal="1">
            <x v="4"/>
          </reference>
        </references>
      </pivotArea>
    </format>
    <format dxfId="71">
      <pivotArea outline="0" fieldPosition="0">
        <references count="2">
          <reference field="0" count="1" selected="0">
            <x v="6"/>
          </reference>
          <reference field="2" count="1" selected="0" defaultSubtotal="1">
            <x v="4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6"/>
          </reference>
          <reference field="2" count="1" defaultSubtotal="1">
            <x v="4"/>
          </reference>
        </references>
      </pivotArea>
    </format>
    <format dxfId="69">
      <pivotArea outline="0" fieldPosition="0">
        <references count="2">
          <reference field="0" count="1" selected="0">
            <x v="7"/>
          </reference>
          <reference field="2" count="1" selected="0" defaultSubtotal="1">
            <x v="4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7"/>
          </reference>
          <reference field="2" count="1" defaultSubtotal="1">
            <x v="4"/>
          </reference>
        </references>
      </pivotArea>
    </format>
    <format dxfId="67">
      <pivotArea outline="0" fieldPosition="0">
        <references count="2">
          <reference field="0" count="1" selected="0">
            <x v="8"/>
          </reference>
          <reference field="2" count="1" selected="0" defaultSubtotal="1">
            <x v="8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8"/>
          </reference>
        </references>
      </pivotArea>
    </format>
    <format dxfId="65">
      <pivotArea outline="0" fieldPosition="0">
        <references count="2">
          <reference field="0" count="1" selected="0">
            <x v="8"/>
          </reference>
          <reference field="2" count="1" selected="0" defaultSubtotal="1">
            <x v="9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9"/>
          </reference>
        </references>
      </pivotArea>
    </format>
    <format dxfId="63">
      <pivotArea outline="0" fieldPosition="0">
        <references count="2">
          <reference field="0" count="1" selected="0">
            <x v="8"/>
          </reference>
          <reference field="2" count="1" selected="0" defaultSubtotal="1">
            <x v="10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8"/>
          </reference>
          <reference field="2" count="1" defaultSubtotal="1">
            <x v="10"/>
          </reference>
        </references>
      </pivotArea>
    </format>
    <format dxfId="61">
      <pivotArea outline="0" fieldPosition="0">
        <references count="2">
          <reference field="0" count="1" selected="0">
            <x v="9"/>
          </reference>
          <reference field="2" count="1" selected="0" defaultSubtotal="1">
            <x v="10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9"/>
          </reference>
          <reference field="2" count="1" defaultSubtotal="1">
            <x v="10"/>
          </reference>
        </references>
      </pivotArea>
    </format>
    <format dxfId="59">
      <pivotArea outline="0" fieldPosition="0">
        <references count="2">
          <reference field="0" count="1" selected="0">
            <x v="10"/>
          </reference>
          <reference field="2" count="1" selected="0" defaultSubtotal="1">
            <x v="13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0"/>
          </reference>
          <reference field="2" count="1" defaultSubtotal="1">
            <x v="13"/>
          </reference>
        </references>
      </pivotArea>
    </format>
    <format dxfId="57">
      <pivotArea outline="0" fieldPosition="0">
        <references count="2">
          <reference field="0" count="1" selected="0">
            <x v="11"/>
          </reference>
          <reference field="2" count="1" selected="0" defaultSubtotal="1">
            <x v="4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1"/>
          </reference>
          <reference field="2" count="1" defaultSubtotal="1">
            <x v="4"/>
          </reference>
        </references>
      </pivotArea>
    </format>
    <format dxfId="55">
      <pivotArea outline="0" fieldPosition="0">
        <references count="2">
          <reference field="0" count="1" selected="0">
            <x v="12"/>
          </reference>
          <reference field="2" count="1" selected="0" defaultSubtotal="1">
            <x v="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2"/>
          </reference>
          <reference field="2" count="1" defaultSubtotal="1">
            <x v="4"/>
          </reference>
        </references>
      </pivotArea>
    </format>
    <format dxfId="53">
      <pivotArea outline="0" fieldPosition="0">
        <references count="2">
          <reference field="0" count="1" selected="0">
            <x v="13"/>
          </reference>
          <reference field="2" count="1" selected="0" defaultSubtotal="1">
            <x v="14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3"/>
          </reference>
          <reference field="2" count="1" defaultSubtotal="1">
            <x v="14"/>
          </reference>
        </references>
      </pivotArea>
    </format>
    <format dxfId="51">
      <pivotArea outline="0" fieldPosition="0">
        <references count="2">
          <reference field="0" count="1" selected="0">
            <x v="14"/>
          </reference>
          <reference field="2" count="1" selected="0" defaultSubtotal="1">
            <x v="1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4"/>
          </reference>
          <reference field="2" count="1" defaultSubtotal="1">
            <x v="11"/>
          </reference>
        </references>
      </pivotArea>
    </format>
    <format dxfId="49">
      <pivotArea outline="0" fieldPosition="0">
        <references count="2">
          <reference field="0" count="1" selected="0">
            <x v="15"/>
          </reference>
          <reference field="2" count="1" selected="0" defaultSubtotal="1">
            <x v="1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5"/>
          </reference>
          <reference field="2" count="1" defaultSubtotal="1">
            <x v="13"/>
          </reference>
        </references>
      </pivotArea>
    </format>
    <format dxfId="47">
      <pivotArea outline="0" fieldPosition="0">
        <references count="2">
          <reference field="0" count="1" selected="0">
            <x v="16"/>
          </reference>
          <reference field="2" count="1" selected="0" defaultSubtotal="1">
            <x v="13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6"/>
          </reference>
          <reference field="2" count="1" defaultSubtotal="1">
            <x v="13"/>
          </reference>
        </references>
      </pivotArea>
    </format>
    <format dxfId="45">
      <pivotArea outline="0" fieldPosition="0">
        <references count="2">
          <reference field="0" count="1" selected="0">
            <x v="17"/>
          </reference>
          <reference field="2" count="1" selected="0" defaultSubtotal="1">
            <x v="4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7"/>
          </reference>
          <reference field="2" count="1" defaultSubtotal="1">
            <x v="4"/>
          </reference>
        </references>
      </pivotArea>
    </format>
    <format dxfId="43">
      <pivotArea outline="0" fieldPosition="0">
        <references count="2">
          <reference field="0" count="1" selected="0">
            <x v="18"/>
          </reference>
          <reference field="2" count="1" selected="0" defaultSubtotal="1">
            <x v="7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8"/>
          </reference>
          <reference field="2" count="1" defaultSubtotal="1">
            <x v="7"/>
          </reference>
        </references>
      </pivotArea>
    </format>
    <format dxfId="41">
      <pivotArea outline="0" fieldPosition="0">
        <references count="2">
          <reference field="0" count="1" selected="0">
            <x v="19"/>
          </reference>
          <reference field="2" count="1" selected="0" defaultSubtotal="1">
            <x v="4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9"/>
          </reference>
          <reference field="2" count="1" defaultSubtotal="1">
            <x v="4"/>
          </reference>
        </references>
      </pivotArea>
    </format>
    <format dxfId="39">
      <pivotArea outline="0" fieldPosition="0">
        <references count="2">
          <reference field="0" count="1" selected="0">
            <x v="20"/>
          </reference>
          <reference field="2" count="1" selected="0" defaultSubtotal="1">
            <x v="15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20"/>
          </reference>
          <reference field="2" count="1" defaultSubtotal="1">
            <x v="15"/>
          </reference>
        </references>
      </pivotArea>
    </format>
    <format dxfId="37">
      <pivotArea outline="0" fieldPosition="0">
        <references count="2">
          <reference field="0" count="1" selected="0">
            <x v="21"/>
          </reference>
          <reference field="2" count="1" selected="0" defaultSubtotal="1">
            <x v="14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21"/>
          </reference>
          <reference field="2" count="1" defaultSubtotal="1">
            <x v="14"/>
          </reference>
        </references>
      </pivotArea>
    </format>
    <format dxfId="35">
      <pivotArea outline="0" fieldPosition="0">
        <references count="2">
          <reference field="0" count="1" selected="0">
            <x v="22"/>
          </reference>
          <reference field="2" count="1" selected="0" defaultSubtotal="1">
            <x v="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22"/>
          </reference>
          <reference field="2" count="1" defaultSubtotal="1">
            <x v="7"/>
          </reference>
        </references>
      </pivotArea>
    </format>
    <format dxfId="33">
      <pivotArea outline="0" fieldPosition="0">
        <references count="2">
          <reference field="0" count="1" selected="0">
            <x v="23"/>
          </reference>
          <reference field="2" count="1" selected="0" defaultSubtotal="1">
            <x v="2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23"/>
          </reference>
          <reference field="2" count="1" defaultSubtotal="1">
            <x v="2"/>
          </reference>
        </references>
      </pivotArea>
    </format>
    <format dxfId="31">
      <pivotArea outline="0" fieldPosition="0">
        <references count="2">
          <reference field="0" count="1" selected="0">
            <x v="24"/>
          </reference>
          <reference field="2" count="1" selected="0" defaultSubtotal="1">
            <x v="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24"/>
          </reference>
          <reference field="2" count="1" defaultSubtotal="1">
            <x v="4"/>
          </reference>
        </references>
      </pivotArea>
    </format>
    <format dxfId="29">
      <pivotArea outline="0" fieldPosition="0">
        <references count="2">
          <reference field="0" count="1" selected="0">
            <x v="25"/>
          </reference>
          <reference field="2" count="1" selected="0" defaultSubtotal="1">
            <x v="16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25"/>
          </reference>
          <reference field="2" count="1" defaultSubtotal="1">
            <x v="16"/>
          </reference>
        </references>
      </pivotArea>
    </format>
    <format dxfId="27">
      <pivotArea outline="0" fieldPosition="0">
        <references count="2">
          <reference field="0" count="1" selected="0">
            <x v="26"/>
          </reference>
          <reference field="2" count="1" selected="0" defaultSubtotal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6"/>
          </reference>
          <reference field="2" count="1" defaultSubtotal="1">
            <x v="4"/>
          </reference>
        </references>
      </pivotArea>
    </format>
    <format dxfId="25">
      <pivotArea outline="0" fieldPosition="0">
        <references count="2">
          <reference field="0" count="1" selected="0">
            <x v="27"/>
          </reference>
          <reference field="2" count="1" selected="0" defaultSubtotal="1">
            <x v="0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27"/>
          </reference>
          <reference field="2" count="1" defaultSubtotal="1">
            <x v="0"/>
          </reference>
        </references>
      </pivotArea>
    </format>
    <format dxfId="23">
      <pivotArea outline="0" fieldPosition="0">
        <references count="2">
          <reference field="0" count="1" selected="0">
            <x v="28"/>
          </reference>
          <reference field="2" count="1" selected="0" defaultSubtotal="1">
            <x v="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28"/>
          </reference>
          <reference field="2" count="1" defaultSubtotal="1">
            <x v="4"/>
          </reference>
        </references>
      </pivotArea>
    </format>
    <format dxfId="21">
      <pivotArea outline="0" fieldPosition="0">
        <references count="2">
          <reference field="0" count="1" selected="0">
            <x v="28"/>
          </reference>
          <reference field="2" count="1" selected="0" defaultSubtotal="1">
            <x v="5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8"/>
          </reference>
          <reference field="2" count="1" defaultSubtotal="1">
            <x v="5"/>
          </reference>
        </references>
      </pivotArea>
    </format>
    <format dxfId="19">
      <pivotArea outline="0" fieldPosition="0">
        <references count="2">
          <reference field="0" count="1" selected="0">
            <x v="29"/>
          </reference>
          <reference field="2" count="1" selected="0" defaultSubtotal="1">
            <x v="13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29"/>
          </reference>
          <reference field="2" count="1" defaultSubtotal="1">
            <x v="13"/>
          </reference>
        </references>
      </pivotArea>
    </format>
    <format dxfId="17">
      <pivotArea outline="0" fieldPosition="0">
        <references count="2">
          <reference field="0" count="1" selected="0">
            <x v="30"/>
          </reference>
          <reference field="2" count="1" selected="0" defaultSubtotal="1">
            <x v="13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30"/>
          </reference>
          <reference field="2" count="1" defaultSubtotal="1">
            <x v="13"/>
          </reference>
        </references>
      </pivotArea>
    </format>
    <format dxfId="15">
      <pivotArea outline="0" fieldPosition="0">
        <references count="2">
          <reference field="0" count="1" selected="0">
            <x v="31"/>
          </reference>
          <reference field="2" count="1" selected="0" defaultSubtotal="1">
            <x v="4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31"/>
          </reference>
          <reference field="2" count="1" defaultSubtotal="1">
            <x v="4"/>
          </reference>
        </references>
      </pivotArea>
    </format>
    <format dxfId="13">
      <pivotArea outline="0" fieldPosition="0">
        <references count="2">
          <reference field="0" count="1" selected="0">
            <x v="32"/>
          </reference>
          <reference field="2" count="1" selected="0" defaultSubtotal="1">
            <x v="15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32"/>
          </reference>
          <reference field="2" count="1" defaultSubtotal="1">
            <x v="15"/>
          </reference>
        </references>
      </pivotArea>
    </format>
    <format dxfId="11">
      <pivotArea outline="0" fieldPosition="0">
        <references count="2">
          <reference field="0" count="1" selected="0">
            <x v="33"/>
          </reference>
          <reference field="2" count="1" selected="0" defaultSubtotal="1">
            <x v="4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33"/>
          </reference>
          <reference field="2" count="1" defaultSubtotal="1">
            <x v="4"/>
          </reference>
        </references>
      </pivotArea>
    </format>
    <format dxfId="9">
      <pivotArea outline="0" fieldPosition="0">
        <references count="2">
          <reference field="0" count="1" selected="0">
            <x v="33"/>
          </reference>
          <reference field="2" count="1" selected="0" defaultSubtotal="1">
            <x v="15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33"/>
          </reference>
          <reference field="2" count="1" defaultSubtotal="1">
            <x v="15"/>
          </reference>
        </references>
      </pivotArea>
    </format>
    <format dxfId="7">
      <pivotArea outline="0" fieldPosition="0">
        <references count="2">
          <reference field="0" count="1" selected="0">
            <x v="34"/>
          </reference>
          <reference field="2" count="1" selected="0" defaultSubtotal="1">
            <x v="4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34"/>
          </reference>
          <reference field="2" count="1" defaultSubtotal="1">
            <x v="4"/>
          </reference>
        </references>
      </pivotArea>
    </format>
    <format dxfId="5">
      <pivotArea outline="0" fieldPosition="0">
        <references count="2">
          <reference field="0" count="1" selected="0">
            <x v="35"/>
          </reference>
          <reference field="2" count="1" selected="0" defaultSubtotal="1">
            <x v="4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35"/>
          </reference>
          <reference field="2" count="1" defaultSubtotal="1">
            <x v="4"/>
          </reference>
        </references>
      </pivotArea>
    </format>
    <format dxfId="3">
      <pivotArea outline="0" fieldPosition="0">
        <references count="2">
          <reference field="0" count="1" selected="0">
            <x v="36"/>
          </reference>
          <reference field="2" count="1" selected="0" defaultSubtotal="1">
            <x v="4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36"/>
          </reference>
          <reference field="2" count="1" defaultSubtotal="1">
            <x v="4"/>
          </reference>
        </references>
      </pivotArea>
    </format>
    <format dxfId="1">
      <pivotArea outline="0" fieldPosition="0">
        <references count="2">
          <reference field="0" count="1" selected="0">
            <x v="37"/>
          </reference>
          <reference field="2" count="1" selected="0" defaultSubtotal="1">
            <x v="4"/>
          </reference>
        </references>
      </pivotArea>
    </format>
    <format dxfId="0">
      <pivotArea dataOnly="0" labelOnly="1" outline="0" fieldPosition="0">
        <references count="2">
          <reference field="0" count="1" selected="0">
            <x v="37"/>
          </reference>
          <reference field="2" count="1" defaultSubtotal="1">
            <x v="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C0C0625-64BD-4BDE-A452-C555BBE631C2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F1FBE8C-824F-4722-8669-72AC30A12CBE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UEvdsHzJQOLtMc8lZd1M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mputechgreen@gmail.com" TargetMode="External"/><Relationship Id="rId18" Type="http://schemas.openxmlformats.org/officeDocument/2006/relationships/hyperlink" Target="https://drive.google.com/file/d/1IEdGocFPdfAGYBa43QTu9WFDze5OOrpy/view?usp=drive_link" TargetMode="External"/><Relationship Id="rId26" Type="http://schemas.openxmlformats.org/officeDocument/2006/relationships/hyperlink" Target="mailto:bhagirathinteriors@gmail.com" TargetMode="External"/><Relationship Id="rId3" Type="http://schemas.openxmlformats.org/officeDocument/2006/relationships/hyperlink" Target="https://drive.google.com/file/d/1pioHFdk_KmZGwVZhJlUtAXERR6ObEBKz/view?usp=drive_link" TargetMode="External"/><Relationship Id="rId21" Type="http://schemas.openxmlformats.org/officeDocument/2006/relationships/hyperlink" Target="mailto:bhagirathinteriors@gmail.com" TargetMode="External"/><Relationship Id="rId34" Type="http://schemas.openxmlformats.org/officeDocument/2006/relationships/hyperlink" Target="https://drive.google.com/file/d/1_HtA0GsH4uEjGz-8VUf4_DmtqlB4qMz7/view?usp=drive_link" TargetMode="External"/><Relationship Id="rId7" Type="http://schemas.openxmlformats.org/officeDocument/2006/relationships/hyperlink" Target="https://drive.google.com/file/d/1yo9kTE1Ps83umj0bcKfO5Z3NJIzJd58W/view?usp=drive_link" TargetMode="External"/><Relationship Id="rId12" Type="http://schemas.openxmlformats.org/officeDocument/2006/relationships/hyperlink" Target="https://drive.google.com/file/d/1-hwY9ZwRXdvLtOVK_MjUAt0sM2DYuIrG/view?usp=drive_link" TargetMode="External"/><Relationship Id="rId17" Type="http://schemas.openxmlformats.org/officeDocument/2006/relationships/hyperlink" Target="mailto:bhagirathinteriors@gmail.com" TargetMode="External"/><Relationship Id="rId25" Type="http://schemas.openxmlformats.org/officeDocument/2006/relationships/hyperlink" Target="mailto:computechgreen@gmail.com" TargetMode="External"/><Relationship Id="rId33" Type="http://schemas.openxmlformats.org/officeDocument/2006/relationships/hyperlink" Target="mailto:bhagirathinteriors@gmail.com" TargetMode="External"/><Relationship Id="rId2" Type="http://schemas.openxmlformats.org/officeDocument/2006/relationships/hyperlink" Target="https://drive.google.com/file/d/1xDy6eTyvo06UcD9jseIOc9Fv0sSCEjx5/view?usp=drive_link" TargetMode="External"/><Relationship Id="rId16" Type="http://schemas.openxmlformats.org/officeDocument/2006/relationships/hyperlink" Target="mailto:bhagirathinteriors@gmail.com" TargetMode="External"/><Relationship Id="rId20" Type="http://schemas.openxmlformats.org/officeDocument/2006/relationships/hyperlink" Target="https://drive.google.com/file/d/16MYuZaEdVpcZIcL1UxsKvIRCqh0CmJKs/view?usp=drive_link" TargetMode="External"/><Relationship Id="rId29" Type="http://schemas.openxmlformats.org/officeDocument/2006/relationships/hyperlink" Target="https://drive.google.com/file/d/1gJp2zuWb4w0wxROKzCeMhKiAYyxFRQXD/view?usp=drive_link" TargetMode="External"/><Relationship Id="rId1" Type="http://schemas.openxmlformats.org/officeDocument/2006/relationships/hyperlink" Target="https://drive.google.com/file/d/1mKjuT-ZNG2f-0R1hj9BpEtfV5gyT_Q3d/view?usp=drive_link" TargetMode="External"/><Relationship Id="rId6" Type="http://schemas.openxmlformats.org/officeDocument/2006/relationships/hyperlink" Target="mailto:bhagirathinteriors@gmail.com" TargetMode="External"/><Relationship Id="rId11" Type="http://schemas.openxmlformats.org/officeDocument/2006/relationships/hyperlink" Target="mailto:computechgreen@gmail.com" TargetMode="External"/><Relationship Id="rId24" Type="http://schemas.openxmlformats.org/officeDocument/2006/relationships/hyperlink" Target="https://drive.google.com/file/d/1UW-hpGscqM97eM-Y0ttaVN7u0XGtq-ed/view?usp=drive_link" TargetMode="External"/><Relationship Id="rId32" Type="http://schemas.openxmlformats.org/officeDocument/2006/relationships/hyperlink" Target="mailto:bhagirathinteriors@gmail.com" TargetMode="External"/><Relationship Id="rId5" Type="http://schemas.openxmlformats.org/officeDocument/2006/relationships/hyperlink" Target="mailto:bhagirathinteriors@gmail.com" TargetMode="External"/><Relationship Id="rId15" Type="http://schemas.openxmlformats.org/officeDocument/2006/relationships/hyperlink" Target="https://drive.google.com/file/d/17VCxIFb6bF0_I4Kr6xvhXRipGGp8BHkB/view?usp=drive_link" TargetMode="External"/><Relationship Id="rId23" Type="http://schemas.openxmlformats.org/officeDocument/2006/relationships/hyperlink" Target="https://drive.google.com/file/d/13KMC2P3VhN33pKtn20k5lUd0KwNzQA-i/view?usp=drive_link" TargetMode="External"/><Relationship Id="rId28" Type="http://schemas.openxmlformats.org/officeDocument/2006/relationships/hyperlink" Target="https://drive.google.com/file/d/1VxxVWnpa26oP8PR1EwEI6Ghqyae0J9v1/view?usp=drive_link" TargetMode="External"/><Relationship Id="rId10" Type="http://schemas.openxmlformats.org/officeDocument/2006/relationships/hyperlink" Target="mailto:bhagirathinteriors@gmail.com" TargetMode="External"/><Relationship Id="rId19" Type="http://schemas.openxmlformats.org/officeDocument/2006/relationships/hyperlink" Target="mailto:bhagirathinteriors@gmail.com" TargetMode="External"/><Relationship Id="rId31" Type="http://schemas.openxmlformats.org/officeDocument/2006/relationships/hyperlink" Target="https://drive.google.com/file/d/1W2pn1vmyIf8BiIQjMeMnp0StylvWtMgo/view?usp=drive_link" TargetMode="External"/><Relationship Id="rId4" Type="http://schemas.openxmlformats.org/officeDocument/2006/relationships/hyperlink" Target="mailto:bhagirathinteriors@gmail.com" TargetMode="External"/><Relationship Id="rId9" Type="http://schemas.openxmlformats.org/officeDocument/2006/relationships/hyperlink" Target="mailto:bhagirathinteriors@gmail.com" TargetMode="External"/><Relationship Id="rId14" Type="http://schemas.openxmlformats.org/officeDocument/2006/relationships/hyperlink" Target="https://drive.google.com/file/d/1H-T341KFi1LbD9KaWRFOEUO6BFT02Lvs/view?usp=drive_link" TargetMode="External"/><Relationship Id="rId22" Type="http://schemas.openxmlformats.org/officeDocument/2006/relationships/hyperlink" Target="mailto:bhagirathinteriors@gmail.com" TargetMode="External"/><Relationship Id="rId27" Type="http://schemas.openxmlformats.org/officeDocument/2006/relationships/hyperlink" Target="mailto:bhagirathinteriors@gmail.com" TargetMode="External"/><Relationship Id="rId30" Type="http://schemas.openxmlformats.org/officeDocument/2006/relationships/hyperlink" Target="mailto:globalentp13@gmail.com" TargetMode="External"/><Relationship Id="rId35" Type="http://schemas.openxmlformats.org/officeDocument/2006/relationships/hyperlink" Target="https://drive.google.com/file/d/1ZIaTlY-r4l7oRHIvIaCcNfVQWO8w_gS6/view?usp=drive_link" TargetMode="External"/><Relationship Id="rId8" Type="http://schemas.openxmlformats.org/officeDocument/2006/relationships/hyperlink" Target="https://drive.google.com/file/d/1cvDBy6Dmeq2toEmqvBnyktv8UGiTHZ7V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abSelected="1" zoomScale="130" zoomScaleNormal="130" workbookViewId="0">
      <selection activeCell="E3" sqref="E3"/>
    </sheetView>
  </sheetViews>
  <sheetFormatPr defaultRowHeight="14.4" x14ac:dyDescent="0.3"/>
  <cols>
    <col min="1" max="1" width="13.77734375" bestFit="1" customWidth="1"/>
    <col min="2" max="2" width="13.77734375" customWidth="1"/>
    <col min="3" max="3" width="29.5546875" style="4" bestFit="1" customWidth="1"/>
    <col min="4" max="4" width="8.5546875" bestFit="1" customWidth="1"/>
    <col min="5" max="5" width="14.33203125" customWidth="1"/>
    <col min="6" max="6" width="3.33203125" style="4" bestFit="1" customWidth="1"/>
    <col min="7" max="7" width="13" style="4" bestFit="1" customWidth="1"/>
    <col min="8" max="8" width="7" style="4" bestFit="1" customWidth="1"/>
    <col min="9" max="9" width="15.109375" style="4" bestFit="1" customWidth="1"/>
    <col min="10" max="10" width="15.109375" customWidth="1"/>
    <col min="11" max="11" width="17.44140625" customWidth="1"/>
    <col min="12" max="12" width="5" bestFit="1" customWidth="1"/>
    <col min="13" max="13" width="7.88671875" bestFit="1" customWidth="1"/>
    <col min="14" max="17" width="7.88671875" style="10" customWidth="1"/>
    <col min="18" max="18" width="16.21875" style="10" customWidth="1"/>
    <col min="19" max="19" width="8.5546875" bestFit="1" customWidth="1"/>
    <col min="21" max="21" width="8" style="21" bestFit="1" customWidth="1"/>
    <col min="22" max="22" width="9.21875" style="10" bestFit="1" customWidth="1"/>
    <col min="23" max="23" width="8.88671875" customWidth="1"/>
    <col min="24" max="24" width="24.21875" bestFit="1" customWidth="1"/>
    <col min="25" max="25" width="10.21875" bestFit="1" customWidth="1"/>
    <col min="26" max="26" width="43.21875" customWidth="1"/>
    <col min="27" max="27" width="16.33203125" customWidth="1"/>
    <col min="28" max="28" width="31.21875" customWidth="1"/>
    <col min="29" max="29" width="11.77734375" customWidth="1"/>
    <col min="30" max="30" width="5.88671875" bestFit="1" customWidth="1"/>
    <col min="31" max="31" width="20.77734375" bestFit="1" customWidth="1"/>
  </cols>
  <sheetData>
    <row r="1" spans="1:31" ht="40.799999999999997" x14ac:dyDescent="0.3">
      <c r="A1" s="5" t="s">
        <v>253</v>
      </c>
      <c r="B1" s="5" t="s">
        <v>257</v>
      </c>
      <c r="C1" s="5" t="s">
        <v>45</v>
      </c>
      <c r="D1" s="5" t="s">
        <v>87</v>
      </c>
      <c r="E1" s="5" t="s">
        <v>1</v>
      </c>
      <c r="F1" s="5" t="s">
        <v>88</v>
      </c>
      <c r="G1" s="5" t="s">
        <v>0</v>
      </c>
      <c r="H1" s="5" t="s">
        <v>1</v>
      </c>
      <c r="I1" s="5" t="s">
        <v>276</v>
      </c>
      <c r="J1" s="5" t="s">
        <v>254</v>
      </c>
      <c r="K1" s="5" t="s">
        <v>259</v>
      </c>
      <c r="L1" s="5" t="s">
        <v>89</v>
      </c>
      <c r="M1" s="5" t="s">
        <v>90</v>
      </c>
      <c r="N1" s="11" t="s">
        <v>260</v>
      </c>
      <c r="O1" s="11" t="s">
        <v>274</v>
      </c>
      <c r="P1" s="11" t="s">
        <v>261</v>
      </c>
      <c r="Q1" s="11" t="s">
        <v>262</v>
      </c>
      <c r="R1" s="11" t="s">
        <v>268</v>
      </c>
      <c r="S1" s="5" t="s">
        <v>91</v>
      </c>
      <c r="T1" s="5" t="s">
        <v>92</v>
      </c>
      <c r="U1" s="11" t="s">
        <v>258</v>
      </c>
      <c r="V1" s="11" t="s">
        <v>3</v>
      </c>
      <c r="W1" s="5" t="s">
        <v>270</v>
      </c>
      <c r="X1" s="5" t="s">
        <v>4</v>
      </c>
      <c r="Y1" s="5" t="s">
        <v>267</v>
      </c>
      <c r="Z1" s="5" t="s">
        <v>93</v>
      </c>
      <c r="AA1" s="5" t="s">
        <v>271</v>
      </c>
      <c r="AB1" s="5" t="s">
        <v>255</v>
      </c>
      <c r="AC1" s="5" t="s">
        <v>263</v>
      </c>
      <c r="AD1" s="5" t="s">
        <v>94</v>
      </c>
      <c r="AE1" s="5" t="s">
        <v>95</v>
      </c>
    </row>
    <row r="2" spans="1:31" ht="33" x14ac:dyDescent="0.3">
      <c r="A2" s="3" t="s">
        <v>96</v>
      </c>
      <c r="B2" s="3">
        <v>12345</v>
      </c>
      <c r="C2" s="1" t="s">
        <v>97</v>
      </c>
      <c r="D2" s="3" t="s">
        <v>6</v>
      </c>
      <c r="E2" s="3" t="s">
        <v>73</v>
      </c>
      <c r="F2" s="3">
        <v>83</v>
      </c>
      <c r="G2" s="1" t="s">
        <v>98</v>
      </c>
      <c r="H2" s="3" t="s">
        <v>5</v>
      </c>
      <c r="I2" s="3" t="s">
        <v>99</v>
      </c>
      <c r="J2" s="1" t="s">
        <v>99</v>
      </c>
      <c r="K2" s="1" t="s">
        <v>273</v>
      </c>
      <c r="L2" s="3" t="s">
        <v>100</v>
      </c>
      <c r="M2" s="12">
        <v>41781</v>
      </c>
      <c r="N2" s="13">
        <v>12</v>
      </c>
      <c r="O2" s="12">
        <f>EDATE(M2,N2)</f>
        <v>42146</v>
      </c>
      <c r="P2" s="13">
        <f>U2 * (Q2/100)</f>
        <v>2744.1000000000004</v>
      </c>
      <c r="Q2" s="13">
        <v>10</v>
      </c>
      <c r="R2" s="13" t="s">
        <v>269</v>
      </c>
      <c r="S2" s="14">
        <v>46049</v>
      </c>
      <c r="T2" s="1" t="s">
        <v>101</v>
      </c>
      <c r="U2" s="20">
        <v>27441</v>
      </c>
      <c r="V2" s="20">
        <v>2277603</v>
      </c>
      <c r="W2" s="3" t="s">
        <v>275</v>
      </c>
      <c r="X2" s="2" t="s">
        <v>6</v>
      </c>
      <c r="Y2" s="2" t="s">
        <v>102</v>
      </c>
      <c r="Z2" s="2" t="s">
        <v>256</v>
      </c>
      <c r="AA2" s="2" t="s">
        <v>272</v>
      </c>
      <c r="AB2" s="15" t="str">
        <f>RIGHT(Z2,7)</f>
        <v xml:space="preserve"> 421101</v>
      </c>
      <c r="AC2" s="15" t="s">
        <v>264</v>
      </c>
      <c r="AD2" s="16" t="s">
        <v>86</v>
      </c>
      <c r="AE2" s="3"/>
    </row>
    <row r="3" spans="1:31" ht="54" x14ac:dyDescent="0.3">
      <c r="A3" s="3" t="s">
        <v>48</v>
      </c>
      <c r="B3" s="3">
        <v>12346</v>
      </c>
      <c r="C3" s="1" t="s">
        <v>58</v>
      </c>
      <c r="D3" s="3" t="s">
        <v>6</v>
      </c>
      <c r="E3" s="3" t="s">
        <v>59</v>
      </c>
      <c r="F3" s="3">
        <v>1</v>
      </c>
      <c r="G3" s="1" t="s">
        <v>74</v>
      </c>
      <c r="H3" s="3" t="s">
        <v>5</v>
      </c>
      <c r="I3" s="1" t="s">
        <v>75</v>
      </c>
      <c r="J3" s="3" t="s">
        <v>103</v>
      </c>
      <c r="K3" s="1" t="s">
        <v>273</v>
      </c>
      <c r="L3" s="3" t="s">
        <v>100</v>
      </c>
      <c r="M3" s="17">
        <v>42017</v>
      </c>
      <c r="N3" s="13">
        <v>12</v>
      </c>
      <c r="O3" s="12">
        <f t="shared" ref="O3:O28" si="0">EDATE(M3,N3)</f>
        <v>42382</v>
      </c>
      <c r="P3" s="13">
        <f t="shared" ref="P3:P28" si="1">U3 * (Q3/100)</f>
        <v>63819.75</v>
      </c>
      <c r="Q3" s="13">
        <v>15</v>
      </c>
      <c r="R3" s="13" t="s">
        <v>269</v>
      </c>
      <c r="S3" s="14">
        <v>46041</v>
      </c>
      <c r="T3" s="1" t="s">
        <v>79</v>
      </c>
      <c r="U3" s="13">
        <v>425465</v>
      </c>
      <c r="V3" s="13">
        <v>425465</v>
      </c>
      <c r="W3" s="3" t="s">
        <v>275</v>
      </c>
      <c r="X3" s="2" t="s">
        <v>6</v>
      </c>
      <c r="Y3" s="2">
        <v>9867772203</v>
      </c>
      <c r="Z3" s="2" t="s">
        <v>83</v>
      </c>
      <c r="AA3" s="2" t="s">
        <v>272</v>
      </c>
      <c r="AB3" s="15" t="s">
        <v>6</v>
      </c>
      <c r="AC3" s="15" t="s">
        <v>265</v>
      </c>
      <c r="AD3" s="3" t="s">
        <v>84</v>
      </c>
      <c r="AE3" s="3" t="s">
        <v>6</v>
      </c>
    </row>
    <row r="4" spans="1:31" ht="54" x14ac:dyDescent="0.3">
      <c r="A4" s="3" t="s">
        <v>48</v>
      </c>
      <c r="B4" s="3">
        <v>12347</v>
      </c>
      <c r="C4" s="1" t="s">
        <v>58</v>
      </c>
      <c r="D4" s="3" t="s">
        <v>6</v>
      </c>
      <c r="E4" s="3" t="s">
        <v>59</v>
      </c>
      <c r="F4" s="3">
        <v>1</v>
      </c>
      <c r="G4" s="1" t="s">
        <v>74</v>
      </c>
      <c r="H4" s="3" t="s">
        <v>5</v>
      </c>
      <c r="I4" s="1" t="s">
        <v>75</v>
      </c>
      <c r="J4" s="3" t="s">
        <v>103</v>
      </c>
      <c r="K4" s="1" t="s">
        <v>273</v>
      </c>
      <c r="L4" s="3" t="s">
        <v>100</v>
      </c>
      <c r="M4" s="17">
        <v>43549</v>
      </c>
      <c r="N4" s="13">
        <v>12</v>
      </c>
      <c r="O4" s="12">
        <f t="shared" si="0"/>
        <v>43915</v>
      </c>
      <c r="P4" s="13">
        <f t="shared" si="1"/>
        <v>97570.8</v>
      </c>
      <c r="Q4" s="13">
        <v>15</v>
      </c>
      <c r="R4" s="13" t="s">
        <v>269</v>
      </c>
      <c r="S4" s="14">
        <v>46041</v>
      </c>
      <c r="T4" s="1" t="s">
        <v>80</v>
      </c>
      <c r="U4" s="13">
        <v>650472</v>
      </c>
      <c r="V4" s="13">
        <v>650472</v>
      </c>
      <c r="W4" s="3" t="s">
        <v>275</v>
      </c>
      <c r="X4" s="2" t="s">
        <v>6</v>
      </c>
      <c r="Y4" s="2">
        <v>9867772203</v>
      </c>
      <c r="Z4" s="2" t="s">
        <v>83</v>
      </c>
      <c r="AA4" s="2" t="s">
        <v>272</v>
      </c>
      <c r="AB4" s="15" t="s">
        <v>6</v>
      </c>
      <c r="AC4" s="15" t="s">
        <v>265</v>
      </c>
      <c r="AD4" s="3" t="s">
        <v>84</v>
      </c>
      <c r="AE4" s="3" t="s">
        <v>6</v>
      </c>
    </row>
    <row r="5" spans="1:31" ht="21.6" x14ac:dyDescent="0.3">
      <c r="A5" s="3" t="s">
        <v>51</v>
      </c>
      <c r="B5" s="3">
        <v>12348</v>
      </c>
      <c r="C5" s="3" t="s">
        <v>104</v>
      </c>
      <c r="D5" s="3" t="s">
        <v>46</v>
      </c>
      <c r="E5" s="3" t="s">
        <v>61</v>
      </c>
      <c r="F5" s="3">
        <v>1</v>
      </c>
      <c r="G5" s="1" t="s">
        <v>78</v>
      </c>
      <c r="H5" s="3" t="s">
        <v>5</v>
      </c>
      <c r="I5" s="3" t="s">
        <v>30</v>
      </c>
      <c r="J5" s="3" t="s">
        <v>103</v>
      </c>
      <c r="K5" s="1" t="s">
        <v>273</v>
      </c>
      <c r="L5" s="3" t="s">
        <v>100</v>
      </c>
      <c r="M5" s="17">
        <v>43544</v>
      </c>
      <c r="N5" s="13">
        <v>12</v>
      </c>
      <c r="O5" s="12">
        <f t="shared" si="0"/>
        <v>43910</v>
      </c>
      <c r="P5" s="13">
        <f t="shared" si="1"/>
        <v>3142.6000000000004</v>
      </c>
      <c r="Q5" s="13">
        <v>10</v>
      </c>
      <c r="R5" s="13" t="s">
        <v>269</v>
      </c>
      <c r="S5" s="14">
        <v>46045</v>
      </c>
      <c r="T5" s="1" t="s">
        <v>82</v>
      </c>
      <c r="U5" s="13">
        <v>31426</v>
      </c>
      <c r="V5" s="20">
        <v>31426</v>
      </c>
      <c r="W5" s="3" t="s">
        <v>275</v>
      </c>
      <c r="X5" s="7" t="s">
        <v>36</v>
      </c>
      <c r="Y5" s="1">
        <v>9930806006</v>
      </c>
      <c r="Z5" s="1" t="s">
        <v>47</v>
      </c>
      <c r="AA5" s="2" t="s">
        <v>272</v>
      </c>
      <c r="AB5" s="15" t="str">
        <f t="shared" ref="AB5:AB28" si="2">RIGHT(Z5,7)</f>
        <v xml:space="preserve"> 400607</v>
      </c>
      <c r="AC5" s="15" t="s">
        <v>266</v>
      </c>
      <c r="AD5" s="3" t="s">
        <v>85</v>
      </c>
      <c r="AE5" s="6" t="s">
        <v>105</v>
      </c>
    </row>
    <row r="6" spans="1:31" ht="21.6" x14ac:dyDescent="0.3">
      <c r="A6" s="3" t="s">
        <v>51</v>
      </c>
      <c r="B6" s="3">
        <v>12349</v>
      </c>
      <c r="C6" s="3" t="s">
        <v>104</v>
      </c>
      <c r="D6" s="3" t="s">
        <v>46</v>
      </c>
      <c r="E6" s="3" t="s">
        <v>61</v>
      </c>
      <c r="F6" s="3">
        <v>1</v>
      </c>
      <c r="G6" s="1" t="s">
        <v>78</v>
      </c>
      <c r="H6" s="3" t="s">
        <v>5</v>
      </c>
      <c r="I6" s="3" t="s">
        <v>30</v>
      </c>
      <c r="J6" s="3" t="s">
        <v>103</v>
      </c>
      <c r="K6" s="1" t="s">
        <v>273</v>
      </c>
      <c r="L6" s="3" t="s">
        <v>100</v>
      </c>
      <c r="M6" s="17">
        <v>43544</v>
      </c>
      <c r="N6" s="13">
        <v>12</v>
      </c>
      <c r="O6" s="12">
        <f t="shared" si="0"/>
        <v>43910</v>
      </c>
      <c r="P6" s="13">
        <f t="shared" si="1"/>
        <v>3142.6000000000004</v>
      </c>
      <c r="Q6" s="13">
        <v>10</v>
      </c>
      <c r="R6" s="13" t="s">
        <v>269</v>
      </c>
      <c r="S6" s="14">
        <v>46045</v>
      </c>
      <c r="T6" s="1" t="s">
        <v>82</v>
      </c>
      <c r="U6" s="13">
        <v>31426</v>
      </c>
      <c r="V6" s="20">
        <v>31426</v>
      </c>
      <c r="W6" s="3" t="s">
        <v>275</v>
      </c>
      <c r="X6" s="7" t="s">
        <v>36</v>
      </c>
      <c r="Y6" s="1">
        <v>9930806006</v>
      </c>
      <c r="Z6" s="1" t="s">
        <v>47</v>
      </c>
      <c r="AA6" s="2" t="s">
        <v>272</v>
      </c>
      <c r="AB6" s="15" t="str">
        <f t="shared" si="2"/>
        <v xml:space="preserve"> 400607</v>
      </c>
      <c r="AC6" s="15" t="s">
        <v>266</v>
      </c>
      <c r="AD6" s="3" t="s">
        <v>85</v>
      </c>
      <c r="AE6" s="6" t="s">
        <v>105</v>
      </c>
    </row>
    <row r="7" spans="1:31" ht="21.6" x14ac:dyDescent="0.3">
      <c r="A7" s="3" t="s">
        <v>51</v>
      </c>
      <c r="B7" s="3">
        <v>12350</v>
      </c>
      <c r="C7" s="3" t="s">
        <v>104</v>
      </c>
      <c r="D7" s="3" t="s">
        <v>46</v>
      </c>
      <c r="E7" s="3" t="s">
        <v>61</v>
      </c>
      <c r="F7" s="3">
        <v>1</v>
      </c>
      <c r="G7" s="1" t="s">
        <v>78</v>
      </c>
      <c r="H7" s="3" t="s">
        <v>5</v>
      </c>
      <c r="I7" s="3" t="s">
        <v>30</v>
      </c>
      <c r="J7" s="3" t="s">
        <v>103</v>
      </c>
      <c r="K7" s="1" t="s">
        <v>273</v>
      </c>
      <c r="L7" s="3" t="s">
        <v>100</v>
      </c>
      <c r="M7" s="17">
        <v>43544</v>
      </c>
      <c r="N7" s="13">
        <v>12</v>
      </c>
      <c r="O7" s="12">
        <f t="shared" si="0"/>
        <v>43910</v>
      </c>
      <c r="P7" s="13">
        <f t="shared" si="1"/>
        <v>3142.6000000000004</v>
      </c>
      <c r="Q7" s="13">
        <v>10</v>
      </c>
      <c r="R7" s="13" t="s">
        <v>269</v>
      </c>
      <c r="S7" s="14">
        <v>46045</v>
      </c>
      <c r="T7" s="1" t="s">
        <v>82</v>
      </c>
      <c r="U7" s="13">
        <v>31426</v>
      </c>
      <c r="V7" s="20">
        <v>31426</v>
      </c>
      <c r="W7" s="3" t="s">
        <v>275</v>
      </c>
      <c r="X7" s="7" t="s">
        <v>36</v>
      </c>
      <c r="Y7" s="1">
        <v>9930806006</v>
      </c>
      <c r="Z7" s="1" t="s">
        <v>47</v>
      </c>
      <c r="AA7" s="2" t="s">
        <v>272</v>
      </c>
      <c r="AB7" s="15" t="str">
        <f t="shared" si="2"/>
        <v xml:space="preserve"> 400607</v>
      </c>
      <c r="AC7" s="15" t="s">
        <v>266</v>
      </c>
      <c r="AD7" s="3" t="s">
        <v>85</v>
      </c>
      <c r="AE7" s="6" t="s">
        <v>105</v>
      </c>
    </row>
    <row r="8" spans="1:31" ht="21.6" x14ac:dyDescent="0.3">
      <c r="A8" s="3" t="s">
        <v>106</v>
      </c>
      <c r="B8" s="3">
        <v>12351</v>
      </c>
      <c r="C8" s="3" t="s">
        <v>107</v>
      </c>
      <c r="D8" s="3" t="s">
        <v>108</v>
      </c>
      <c r="E8" s="3" t="s">
        <v>61</v>
      </c>
      <c r="F8" s="3">
        <v>1</v>
      </c>
      <c r="G8" s="1" t="s">
        <v>78</v>
      </c>
      <c r="H8" s="3" t="s">
        <v>5</v>
      </c>
      <c r="I8" s="3" t="s">
        <v>30</v>
      </c>
      <c r="J8" s="3" t="s">
        <v>103</v>
      </c>
      <c r="K8" s="1" t="s">
        <v>273</v>
      </c>
      <c r="L8" s="3" t="s">
        <v>100</v>
      </c>
      <c r="M8" s="17">
        <v>43544</v>
      </c>
      <c r="N8" s="13">
        <v>12</v>
      </c>
      <c r="O8" s="12">
        <f t="shared" si="0"/>
        <v>43910</v>
      </c>
      <c r="P8" s="13">
        <f t="shared" si="1"/>
        <v>5390.8</v>
      </c>
      <c r="Q8" s="13">
        <v>10</v>
      </c>
      <c r="R8" s="13" t="s">
        <v>269</v>
      </c>
      <c r="S8" s="14">
        <v>46045</v>
      </c>
      <c r="T8" s="1" t="s">
        <v>82</v>
      </c>
      <c r="U8" s="13">
        <v>53908</v>
      </c>
      <c r="V8" s="20">
        <v>53908</v>
      </c>
      <c r="W8" s="3" t="s">
        <v>275</v>
      </c>
      <c r="X8" s="7" t="s">
        <v>36</v>
      </c>
      <c r="Y8" s="1">
        <v>9930806006</v>
      </c>
      <c r="Z8" s="1" t="s">
        <v>47</v>
      </c>
      <c r="AA8" s="2" t="s">
        <v>272</v>
      </c>
      <c r="AB8" s="15" t="str">
        <f t="shared" si="2"/>
        <v xml:space="preserve"> 400607</v>
      </c>
      <c r="AC8" s="15" t="s">
        <v>266</v>
      </c>
      <c r="AD8" s="3" t="s">
        <v>109</v>
      </c>
      <c r="AE8" s="6" t="s">
        <v>106</v>
      </c>
    </row>
    <row r="9" spans="1:31" ht="21.6" x14ac:dyDescent="0.3">
      <c r="A9" s="3" t="s">
        <v>110</v>
      </c>
      <c r="B9" s="3">
        <v>12352</v>
      </c>
      <c r="C9" s="3" t="s">
        <v>111</v>
      </c>
      <c r="D9" s="3" t="s">
        <v>108</v>
      </c>
      <c r="E9" s="3" t="s">
        <v>61</v>
      </c>
      <c r="F9" s="3">
        <v>8</v>
      </c>
      <c r="G9" s="1" t="s">
        <v>78</v>
      </c>
      <c r="H9" s="3" t="s">
        <v>5</v>
      </c>
      <c r="I9" s="3" t="s">
        <v>30</v>
      </c>
      <c r="J9" s="3" t="s">
        <v>103</v>
      </c>
      <c r="K9" s="1" t="s">
        <v>273</v>
      </c>
      <c r="L9" s="3" t="s">
        <v>100</v>
      </c>
      <c r="M9" s="17">
        <v>43544</v>
      </c>
      <c r="N9" s="13">
        <v>12</v>
      </c>
      <c r="O9" s="12">
        <f t="shared" si="0"/>
        <v>43910</v>
      </c>
      <c r="P9" s="13">
        <f t="shared" si="1"/>
        <v>893.1</v>
      </c>
      <c r="Q9" s="13">
        <v>10</v>
      </c>
      <c r="R9" s="13" t="s">
        <v>269</v>
      </c>
      <c r="S9" s="14">
        <v>46045</v>
      </c>
      <c r="T9" s="1" t="s">
        <v>82</v>
      </c>
      <c r="U9" s="13">
        <v>8931</v>
      </c>
      <c r="V9" s="20">
        <v>71448</v>
      </c>
      <c r="W9" s="3" t="s">
        <v>275</v>
      </c>
      <c r="X9" s="7" t="s">
        <v>36</v>
      </c>
      <c r="Y9" s="1">
        <v>9930806006</v>
      </c>
      <c r="Z9" s="1" t="s">
        <v>47</v>
      </c>
      <c r="AA9" s="2" t="s">
        <v>272</v>
      </c>
      <c r="AB9" s="15" t="str">
        <f t="shared" si="2"/>
        <v xml:space="preserve"> 400607</v>
      </c>
      <c r="AC9" s="15" t="s">
        <v>266</v>
      </c>
      <c r="AD9" s="3" t="s">
        <v>85</v>
      </c>
      <c r="AE9" s="6" t="s">
        <v>111</v>
      </c>
    </row>
    <row r="10" spans="1:31" ht="32.4" x14ac:dyDescent="0.3">
      <c r="A10" s="3" t="s">
        <v>49</v>
      </c>
      <c r="B10" s="3">
        <v>12353</v>
      </c>
      <c r="C10" s="3" t="s">
        <v>60</v>
      </c>
      <c r="D10" s="3" t="s">
        <v>11</v>
      </c>
      <c r="E10" s="3" t="s">
        <v>61</v>
      </c>
      <c r="F10" s="3">
        <v>1</v>
      </c>
      <c r="G10" s="1" t="s">
        <v>12</v>
      </c>
      <c r="H10" s="3" t="s">
        <v>5</v>
      </c>
      <c r="I10" s="3" t="s">
        <v>76</v>
      </c>
      <c r="J10" s="3" t="s">
        <v>103</v>
      </c>
      <c r="K10" s="1" t="s">
        <v>273</v>
      </c>
      <c r="L10" s="3" t="s">
        <v>100</v>
      </c>
      <c r="M10" s="12">
        <v>45194</v>
      </c>
      <c r="N10" s="13">
        <v>12</v>
      </c>
      <c r="O10" s="12">
        <f t="shared" si="0"/>
        <v>45560</v>
      </c>
      <c r="P10" s="13">
        <f t="shared" si="1"/>
        <v>1663.2</v>
      </c>
      <c r="Q10" s="13">
        <v>3</v>
      </c>
      <c r="R10" s="13" t="s">
        <v>269</v>
      </c>
      <c r="S10" s="14">
        <v>46032</v>
      </c>
      <c r="T10" s="1" t="s">
        <v>13</v>
      </c>
      <c r="U10" s="20">
        <v>55440</v>
      </c>
      <c r="V10" s="20">
        <v>55440</v>
      </c>
      <c r="W10" s="3" t="s">
        <v>275</v>
      </c>
      <c r="X10" s="7" t="s">
        <v>14</v>
      </c>
      <c r="Y10" s="1" t="s">
        <v>15</v>
      </c>
      <c r="Z10" s="1" t="s">
        <v>16</v>
      </c>
      <c r="AA10" s="2" t="s">
        <v>272</v>
      </c>
      <c r="AB10" s="15" t="str">
        <f t="shared" si="2"/>
        <v xml:space="preserve"> 400601</v>
      </c>
      <c r="AC10" s="15" t="s">
        <v>266</v>
      </c>
      <c r="AD10" s="1" t="s">
        <v>17</v>
      </c>
      <c r="AE10" s="6" t="s">
        <v>60</v>
      </c>
    </row>
    <row r="11" spans="1:31" ht="21.6" x14ac:dyDescent="0.3">
      <c r="A11" s="3" t="s">
        <v>50</v>
      </c>
      <c r="B11" s="3">
        <v>12354</v>
      </c>
      <c r="C11" s="3" t="s">
        <v>62</v>
      </c>
      <c r="D11" s="3" t="s">
        <v>63</v>
      </c>
      <c r="E11" s="3" t="s">
        <v>61</v>
      </c>
      <c r="F11" s="3">
        <v>1</v>
      </c>
      <c r="G11" s="1" t="s">
        <v>77</v>
      </c>
      <c r="H11" s="3" t="s">
        <v>5</v>
      </c>
      <c r="I11" s="3" t="s">
        <v>30</v>
      </c>
      <c r="J11" s="3" t="s">
        <v>103</v>
      </c>
      <c r="K11" s="1" t="s">
        <v>273</v>
      </c>
      <c r="L11" s="3" t="s">
        <v>100</v>
      </c>
      <c r="M11" s="17">
        <v>43614</v>
      </c>
      <c r="N11" s="13">
        <v>12</v>
      </c>
      <c r="O11" s="12">
        <f t="shared" si="0"/>
        <v>43980</v>
      </c>
      <c r="P11" s="13">
        <f t="shared" si="1"/>
        <v>3456.8231428571403</v>
      </c>
      <c r="Q11" s="13">
        <v>10</v>
      </c>
      <c r="R11" s="13" t="s">
        <v>269</v>
      </c>
      <c r="S11" s="14">
        <v>46042</v>
      </c>
      <c r="T11" s="1" t="s">
        <v>81</v>
      </c>
      <c r="U11" s="13">
        <v>34568.231428571402</v>
      </c>
      <c r="V11" s="20">
        <v>34568.231428571402</v>
      </c>
      <c r="W11" s="3" t="s">
        <v>275</v>
      </c>
      <c r="X11" s="3" t="s">
        <v>6</v>
      </c>
      <c r="Y11" s="3" t="s">
        <v>6</v>
      </c>
      <c r="Z11" s="3" t="s">
        <v>6</v>
      </c>
      <c r="AA11" s="2" t="s">
        <v>272</v>
      </c>
      <c r="AB11" s="15" t="s">
        <v>6</v>
      </c>
      <c r="AC11" s="15" t="s">
        <v>6</v>
      </c>
      <c r="AD11" s="3" t="s">
        <v>85</v>
      </c>
      <c r="AE11" s="1" t="s">
        <v>6</v>
      </c>
    </row>
    <row r="12" spans="1:31" ht="21.6" x14ac:dyDescent="0.3">
      <c r="A12" s="3" t="s">
        <v>50</v>
      </c>
      <c r="B12" s="3">
        <v>12355</v>
      </c>
      <c r="C12" s="3" t="s">
        <v>62</v>
      </c>
      <c r="D12" s="3" t="s">
        <v>63</v>
      </c>
      <c r="E12" s="3" t="s">
        <v>61</v>
      </c>
      <c r="F12" s="3">
        <v>1</v>
      </c>
      <c r="G12" s="1" t="s">
        <v>77</v>
      </c>
      <c r="H12" s="3" t="s">
        <v>5</v>
      </c>
      <c r="I12" s="3" t="s">
        <v>30</v>
      </c>
      <c r="J12" s="3" t="s">
        <v>103</v>
      </c>
      <c r="K12" s="1" t="s">
        <v>273</v>
      </c>
      <c r="L12" s="3" t="s">
        <v>100</v>
      </c>
      <c r="M12" s="17">
        <v>43614</v>
      </c>
      <c r="N12" s="13">
        <v>12</v>
      </c>
      <c r="O12" s="12">
        <f t="shared" si="0"/>
        <v>43980</v>
      </c>
      <c r="P12" s="13">
        <f t="shared" si="1"/>
        <v>3456.8231428571403</v>
      </c>
      <c r="Q12" s="13">
        <v>10</v>
      </c>
      <c r="R12" s="13" t="s">
        <v>269</v>
      </c>
      <c r="S12" s="14">
        <v>46042</v>
      </c>
      <c r="T12" s="1" t="s">
        <v>81</v>
      </c>
      <c r="U12" s="13">
        <v>34568.231428571402</v>
      </c>
      <c r="V12" s="20">
        <v>34568.231428571402</v>
      </c>
      <c r="W12" s="3" t="s">
        <v>275</v>
      </c>
      <c r="X12" s="3" t="s">
        <v>6</v>
      </c>
      <c r="Y12" s="3" t="s">
        <v>6</v>
      </c>
      <c r="Z12" s="3" t="s">
        <v>6</v>
      </c>
      <c r="AA12" s="2" t="s">
        <v>272</v>
      </c>
      <c r="AB12" s="15" t="s">
        <v>6</v>
      </c>
      <c r="AC12" s="15" t="s">
        <v>6</v>
      </c>
      <c r="AD12" s="3" t="s">
        <v>85</v>
      </c>
      <c r="AE12" s="1" t="s">
        <v>6</v>
      </c>
    </row>
    <row r="13" spans="1:31" ht="21.6" x14ac:dyDescent="0.3">
      <c r="A13" s="3" t="s">
        <v>50</v>
      </c>
      <c r="B13" s="3">
        <v>12356</v>
      </c>
      <c r="C13" s="3" t="s">
        <v>62</v>
      </c>
      <c r="D13" s="3" t="s">
        <v>63</v>
      </c>
      <c r="E13" s="3" t="s">
        <v>61</v>
      </c>
      <c r="F13" s="3">
        <v>1</v>
      </c>
      <c r="G13" s="1" t="s">
        <v>77</v>
      </c>
      <c r="H13" s="3" t="s">
        <v>5</v>
      </c>
      <c r="I13" s="3" t="s">
        <v>30</v>
      </c>
      <c r="J13" s="3" t="s">
        <v>103</v>
      </c>
      <c r="K13" s="1" t="s">
        <v>273</v>
      </c>
      <c r="L13" s="3" t="s">
        <v>100</v>
      </c>
      <c r="M13" s="17">
        <v>43614</v>
      </c>
      <c r="N13" s="13">
        <v>12</v>
      </c>
      <c r="O13" s="12">
        <f t="shared" si="0"/>
        <v>43980</v>
      </c>
      <c r="P13" s="13">
        <f t="shared" si="1"/>
        <v>3456.7231428571431</v>
      </c>
      <c r="Q13" s="13">
        <v>10</v>
      </c>
      <c r="R13" s="13" t="s">
        <v>269</v>
      </c>
      <c r="S13" s="14">
        <v>46042</v>
      </c>
      <c r="T13" s="1" t="s">
        <v>81</v>
      </c>
      <c r="U13" s="13">
        <v>34567.231428571431</v>
      </c>
      <c r="V13" s="20">
        <v>34567.231428571431</v>
      </c>
      <c r="W13" s="3" t="s">
        <v>275</v>
      </c>
      <c r="X13" s="3" t="s">
        <v>6</v>
      </c>
      <c r="Y13" s="3" t="s">
        <v>6</v>
      </c>
      <c r="Z13" s="3" t="s">
        <v>6</v>
      </c>
      <c r="AA13" s="2" t="s">
        <v>272</v>
      </c>
      <c r="AB13" s="15" t="s">
        <v>6</v>
      </c>
      <c r="AC13" s="15" t="s">
        <v>6</v>
      </c>
      <c r="AD13" s="3" t="s">
        <v>85</v>
      </c>
      <c r="AE13" s="1" t="s">
        <v>6</v>
      </c>
    </row>
    <row r="14" spans="1:31" ht="32.4" x14ac:dyDescent="0.3">
      <c r="A14" s="3" t="s">
        <v>18</v>
      </c>
      <c r="B14" s="3">
        <v>12357</v>
      </c>
      <c r="C14" s="1" t="s">
        <v>19</v>
      </c>
      <c r="D14" s="3" t="s">
        <v>112</v>
      </c>
      <c r="E14" s="3" t="s">
        <v>61</v>
      </c>
      <c r="F14" s="3">
        <v>1</v>
      </c>
      <c r="G14" s="1" t="s">
        <v>12</v>
      </c>
      <c r="H14" s="3" t="s">
        <v>5</v>
      </c>
      <c r="I14" s="3" t="s">
        <v>76</v>
      </c>
      <c r="J14" s="3" t="s">
        <v>103</v>
      </c>
      <c r="K14" s="1" t="s">
        <v>273</v>
      </c>
      <c r="L14" s="3" t="s">
        <v>100</v>
      </c>
      <c r="M14" s="12">
        <v>45280</v>
      </c>
      <c r="N14" s="13">
        <v>12</v>
      </c>
      <c r="O14" s="12">
        <f t="shared" si="0"/>
        <v>45646</v>
      </c>
      <c r="P14" s="13">
        <f t="shared" si="1"/>
        <v>579.15</v>
      </c>
      <c r="Q14" s="13">
        <v>3</v>
      </c>
      <c r="R14" s="13" t="s">
        <v>269</v>
      </c>
      <c r="S14" s="14">
        <v>46032</v>
      </c>
      <c r="T14" s="1" t="s">
        <v>20</v>
      </c>
      <c r="U14" s="13">
        <v>19305</v>
      </c>
      <c r="V14" s="20">
        <v>19305</v>
      </c>
      <c r="W14" s="3" t="s">
        <v>275</v>
      </c>
      <c r="X14" s="7" t="s">
        <v>14</v>
      </c>
      <c r="Y14" s="1" t="s">
        <v>15</v>
      </c>
      <c r="Z14" s="1" t="s">
        <v>16</v>
      </c>
      <c r="AA14" s="2" t="s">
        <v>272</v>
      </c>
      <c r="AB14" s="15" t="str">
        <f t="shared" si="2"/>
        <v xml:space="preserve"> 400601</v>
      </c>
      <c r="AC14" s="15" t="s">
        <v>266</v>
      </c>
      <c r="AD14" s="1" t="s">
        <v>17</v>
      </c>
      <c r="AE14" s="1" t="s">
        <v>6</v>
      </c>
    </row>
    <row r="15" spans="1:31" ht="21.6" x14ac:dyDescent="0.3">
      <c r="A15" s="3" t="s">
        <v>113</v>
      </c>
      <c r="B15" s="3">
        <v>12358</v>
      </c>
      <c r="C15" s="3" t="s">
        <v>114</v>
      </c>
      <c r="D15" s="3" t="s">
        <v>108</v>
      </c>
      <c r="E15" s="3" t="s">
        <v>115</v>
      </c>
      <c r="F15" s="3">
        <v>1</v>
      </c>
      <c r="G15" s="1" t="s">
        <v>77</v>
      </c>
      <c r="H15" s="3" t="s">
        <v>5</v>
      </c>
      <c r="I15" s="3" t="s">
        <v>30</v>
      </c>
      <c r="J15" s="3" t="s">
        <v>103</v>
      </c>
      <c r="K15" s="1" t="s">
        <v>273</v>
      </c>
      <c r="L15" s="3" t="s">
        <v>100</v>
      </c>
      <c r="M15" s="17">
        <v>43614</v>
      </c>
      <c r="N15" s="13">
        <v>12</v>
      </c>
      <c r="O15" s="12">
        <f t="shared" si="0"/>
        <v>43980</v>
      </c>
      <c r="P15" s="13">
        <f t="shared" si="1"/>
        <v>3456.8231428571403</v>
      </c>
      <c r="Q15" s="13">
        <v>10</v>
      </c>
      <c r="R15" s="13" t="s">
        <v>269</v>
      </c>
      <c r="S15" s="14">
        <v>46045</v>
      </c>
      <c r="T15" s="1" t="s">
        <v>81</v>
      </c>
      <c r="U15" s="13">
        <v>34568.231428571402</v>
      </c>
      <c r="V15" s="20">
        <v>34568.231428571402</v>
      </c>
      <c r="W15" s="3" t="s">
        <v>275</v>
      </c>
      <c r="X15" s="3"/>
      <c r="Y15" s="3"/>
      <c r="Z15" s="3" t="s">
        <v>6</v>
      </c>
      <c r="AA15" s="2" t="s">
        <v>272</v>
      </c>
      <c r="AB15" s="15" t="s">
        <v>6</v>
      </c>
      <c r="AC15" s="3" t="s">
        <v>6</v>
      </c>
      <c r="AD15" s="3" t="s">
        <v>85</v>
      </c>
      <c r="AE15" s="6" t="s">
        <v>116</v>
      </c>
    </row>
    <row r="16" spans="1:31" ht="21.6" x14ac:dyDescent="0.3">
      <c r="A16" s="3" t="s">
        <v>117</v>
      </c>
      <c r="B16" s="3">
        <v>12359</v>
      </c>
      <c r="C16" s="3" t="s">
        <v>118</v>
      </c>
      <c r="D16" s="3" t="s">
        <v>46</v>
      </c>
      <c r="E16" s="3" t="s">
        <v>115</v>
      </c>
      <c r="F16" s="3">
        <v>1</v>
      </c>
      <c r="G16" s="1" t="s">
        <v>78</v>
      </c>
      <c r="H16" s="3" t="s">
        <v>5</v>
      </c>
      <c r="I16" s="3" t="s">
        <v>30</v>
      </c>
      <c r="J16" s="3" t="s">
        <v>103</v>
      </c>
      <c r="K16" s="1" t="s">
        <v>273</v>
      </c>
      <c r="L16" s="3" t="s">
        <v>100</v>
      </c>
      <c r="M16" s="18">
        <v>43544</v>
      </c>
      <c r="N16" s="13">
        <v>12</v>
      </c>
      <c r="O16" s="12">
        <f t="shared" si="0"/>
        <v>43910</v>
      </c>
      <c r="P16" s="13">
        <f t="shared" si="1"/>
        <v>6272.2000000000007</v>
      </c>
      <c r="Q16" s="13">
        <v>10</v>
      </c>
      <c r="R16" s="13" t="s">
        <v>269</v>
      </c>
      <c r="S16" s="14">
        <v>46045</v>
      </c>
      <c r="T16" s="1" t="s">
        <v>82</v>
      </c>
      <c r="U16" s="13">
        <v>62722</v>
      </c>
      <c r="V16" s="20">
        <v>62722</v>
      </c>
      <c r="W16" s="3" t="s">
        <v>275</v>
      </c>
      <c r="X16" s="7" t="s">
        <v>36</v>
      </c>
      <c r="Y16" s="1">
        <v>9930806006</v>
      </c>
      <c r="Z16" s="1" t="s">
        <v>47</v>
      </c>
      <c r="AA16" s="2" t="s">
        <v>272</v>
      </c>
      <c r="AB16" s="15" t="str">
        <f t="shared" si="2"/>
        <v xml:space="preserve"> 400607</v>
      </c>
      <c r="AC16" s="15" t="s">
        <v>266</v>
      </c>
      <c r="AD16" s="3" t="s">
        <v>85</v>
      </c>
      <c r="AE16" s="6" t="s">
        <v>119</v>
      </c>
    </row>
    <row r="17" spans="1:31" ht="21.6" x14ac:dyDescent="0.3">
      <c r="A17" s="3" t="s">
        <v>51</v>
      </c>
      <c r="B17" s="3">
        <v>12360</v>
      </c>
      <c r="C17" s="3" t="s">
        <v>64</v>
      </c>
      <c r="D17" s="3" t="s">
        <v>46</v>
      </c>
      <c r="E17" s="3" t="s">
        <v>65</v>
      </c>
      <c r="F17" s="3">
        <v>1</v>
      </c>
      <c r="G17" s="1" t="s">
        <v>78</v>
      </c>
      <c r="H17" s="3" t="s">
        <v>5</v>
      </c>
      <c r="I17" s="3" t="s">
        <v>21</v>
      </c>
      <c r="J17" s="3" t="s">
        <v>103</v>
      </c>
      <c r="K17" s="1" t="s">
        <v>273</v>
      </c>
      <c r="L17" s="3" t="s">
        <v>100</v>
      </c>
      <c r="M17" s="17">
        <v>43544</v>
      </c>
      <c r="N17" s="13">
        <v>12</v>
      </c>
      <c r="O17" s="12">
        <f t="shared" si="0"/>
        <v>43910</v>
      </c>
      <c r="P17" s="13">
        <f t="shared" si="1"/>
        <v>1571.3000000000002</v>
      </c>
      <c r="Q17" s="13">
        <v>5</v>
      </c>
      <c r="R17" s="13" t="s">
        <v>269</v>
      </c>
      <c r="S17" s="14">
        <v>46042</v>
      </c>
      <c r="T17" s="1" t="s">
        <v>82</v>
      </c>
      <c r="U17" s="20">
        <v>31426</v>
      </c>
      <c r="V17" s="20">
        <v>31426</v>
      </c>
      <c r="W17" s="3" t="s">
        <v>275</v>
      </c>
      <c r="X17" s="7" t="s">
        <v>36</v>
      </c>
      <c r="Y17" s="1">
        <v>9930806006</v>
      </c>
      <c r="Z17" s="1" t="s">
        <v>47</v>
      </c>
      <c r="AA17" s="2" t="s">
        <v>272</v>
      </c>
      <c r="AB17" s="15" t="str">
        <f t="shared" si="2"/>
        <v xml:space="preserve"> 400607</v>
      </c>
      <c r="AC17" s="15" t="s">
        <v>266</v>
      </c>
      <c r="AD17" s="3" t="s">
        <v>85</v>
      </c>
      <c r="AE17" s="3" t="s">
        <v>6</v>
      </c>
    </row>
    <row r="18" spans="1:31" ht="21.6" x14ac:dyDescent="0.3">
      <c r="A18" s="3" t="s">
        <v>120</v>
      </c>
      <c r="B18" s="3">
        <v>12361</v>
      </c>
      <c r="C18" s="3" t="s">
        <v>118</v>
      </c>
      <c r="D18" s="3" t="s">
        <v>46</v>
      </c>
      <c r="E18" s="3" t="s">
        <v>65</v>
      </c>
      <c r="F18" s="3">
        <v>1</v>
      </c>
      <c r="G18" s="1" t="s">
        <v>78</v>
      </c>
      <c r="H18" s="3" t="s">
        <v>5</v>
      </c>
      <c r="I18" s="3" t="s">
        <v>30</v>
      </c>
      <c r="J18" s="3" t="s">
        <v>103</v>
      </c>
      <c r="K18" s="1" t="s">
        <v>273</v>
      </c>
      <c r="L18" s="3" t="s">
        <v>100</v>
      </c>
      <c r="M18" s="18">
        <v>43544</v>
      </c>
      <c r="N18" s="13">
        <v>12</v>
      </c>
      <c r="O18" s="12">
        <f t="shared" si="0"/>
        <v>43910</v>
      </c>
      <c r="P18" s="13">
        <f t="shared" si="1"/>
        <v>6272.2000000000007</v>
      </c>
      <c r="Q18" s="13">
        <v>10</v>
      </c>
      <c r="R18" s="13" t="s">
        <v>269</v>
      </c>
      <c r="S18" s="14">
        <v>46045</v>
      </c>
      <c r="T18" s="1" t="s">
        <v>82</v>
      </c>
      <c r="U18" s="13">
        <v>62722</v>
      </c>
      <c r="V18" s="20">
        <v>62722</v>
      </c>
      <c r="W18" s="3" t="s">
        <v>275</v>
      </c>
      <c r="X18" s="7" t="s">
        <v>36</v>
      </c>
      <c r="Y18" s="1">
        <v>9930806006</v>
      </c>
      <c r="Z18" s="1" t="s">
        <v>47</v>
      </c>
      <c r="AA18" s="2" t="s">
        <v>272</v>
      </c>
      <c r="AB18" s="15" t="str">
        <f t="shared" si="2"/>
        <v xml:space="preserve"> 400607</v>
      </c>
      <c r="AC18" s="15" t="s">
        <v>266</v>
      </c>
      <c r="AD18" s="3" t="s">
        <v>85</v>
      </c>
      <c r="AE18" s="6" t="s">
        <v>119</v>
      </c>
    </row>
    <row r="19" spans="1:31" ht="21.6" x14ac:dyDescent="0.3">
      <c r="A19" s="3" t="s">
        <v>120</v>
      </c>
      <c r="B19" s="3">
        <v>12362</v>
      </c>
      <c r="C19" s="3" t="s">
        <v>118</v>
      </c>
      <c r="D19" s="3" t="s">
        <v>46</v>
      </c>
      <c r="E19" s="3" t="s">
        <v>67</v>
      </c>
      <c r="F19" s="3">
        <v>1</v>
      </c>
      <c r="G19" s="1" t="s">
        <v>78</v>
      </c>
      <c r="H19" s="3" t="s">
        <v>5</v>
      </c>
      <c r="I19" s="3" t="s">
        <v>30</v>
      </c>
      <c r="J19" s="3" t="s">
        <v>103</v>
      </c>
      <c r="K19" s="1" t="s">
        <v>273</v>
      </c>
      <c r="L19" s="3" t="s">
        <v>100</v>
      </c>
      <c r="M19" s="18">
        <v>43544</v>
      </c>
      <c r="N19" s="13">
        <v>12</v>
      </c>
      <c r="O19" s="12">
        <f t="shared" si="0"/>
        <v>43910</v>
      </c>
      <c r="P19" s="13">
        <f t="shared" si="1"/>
        <v>6272.2000000000007</v>
      </c>
      <c r="Q19" s="13">
        <v>10</v>
      </c>
      <c r="R19" s="13" t="s">
        <v>269</v>
      </c>
      <c r="S19" s="14">
        <v>46045</v>
      </c>
      <c r="T19" s="1" t="s">
        <v>82</v>
      </c>
      <c r="U19" s="13">
        <v>62722</v>
      </c>
      <c r="V19" s="20">
        <v>62722</v>
      </c>
      <c r="W19" s="3" t="s">
        <v>275</v>
      </c>
      <c r="X19" s="7" t="s">
        <v>36</v>
      </c>
      <c r="Y19" s="1">
        <v>9930806006</v>
      </c>
      <c r="Z19" s="1" t="s">
        <v>47</v>
      </c>
      <c r="AA19" s="2" t="s">
        <v>272</v>
      </c>
      <c r="AB19" s="15" t="str">
        <f t="shared" si="2"/>
        <v xml:space="preserve"> 400607</v>
      </c>
      <c r="AC19" s="15" t="s">
        <v>266</v>
      </c>
      <c r="AD19" s="3" t="s">
        <v>85</v>
      </c>
      <c r="AE19" s="6" t="s">
        <v>120</v>
      </c>
    </row>
    <row r="20" spans="1:31" ht="21.6" x14ac:dyDescent="0.3">
      <c r="A20" s="3" t="s">
        <v>51</v>
      </c>
      <c r="B20" s="3">
        <v>12363</v>
      </c>
      <c r="C20" s="3" t="s">
        <v>66</v>
      </c>
      <c r="D20" s="3" t="s">
        <v>46</v>
      </c>
      <c r="E20" s="3" t="s">
        <v>67</v>
      </c>
      <c r="F20" s="3">
        <v>1</v>
      </c>
      <c r="G20" s="1" t="s">
        <v>78</v>
      </c>
      <c r="H20" s="3" t="s">
        <v>5</v>
      </c>
      <c r="I20" s="3" t="s">
        <v>30</v>
      </c>
      <c r="J20" s="3" t="s">
        <v>103</v>
      </c>
      <c r="K20" s="1" t="s">
        <v>273</v>
      </c>
      <c r="L20" s="3" t="s">
        <v>100</v>
      </c>
      <c r="M20" s="17">
        <v>43544</v>
      </c>
      <c r="N20" s="13">
        <v>12</v>
      </c>
      <c r="O20" s="12">
        <f t="shared" si="0"/>
        <v>43910</v>
      </c>
      <c r="P20" s="13">
        <f t="shared" si="1"/>
        <v>3142.6000000000004</v>
      </c>
      <c r="Q20" s="13">
        <v>10</v>
      </c>
      <c r="R20" s="13" t="s">
        <v>269</v>
      </c>
      <c r="S20" s="14">
        <v>46042</v>
      </c>
      <c r="T20" s="1" t="s">
        <v>82</v>
      </c>
      <c r="U20" s="20">
        <v>31426</v>
      </c>
      <c r="V20" s="20">
        <v>31426</v>
      </c>
      <c r="W20" s="3" t="s">
        <v>275</v>
      </c>
      <c r="X20" s="7" t="s">
        <v>36</v>
      </c>
      <c r="Y20" s="1">
        <v>9930806006</v>
      </c>
      <c r="Z20" s="1" t="s">
        <v>47</v>
      </c>
      <c r="AA20" s="2" t="s">
        <v>272</v>
      </c>
      <c r="AB20" s="15" t="str">
        <f t="shared" si="2"/>
        <v xml:space="preserve"> 400607</v>
      </c>
      <c r="AC20" s="15" t="s">
        <v>266</v>
      </c>
      <c r="AD20" s="3" t="s">
        <v>85</v>
      </c>
      <c r="AE20" s="3" t="s">
        <v>121</v>
      </c>
    </row>
    <row r="21" spans="1:31" ht="21.6" x14ac:dyDescent="0.3">
      <c r="A21" s="3" t="s">
        <v>122</v>
      </c>
      <c r="B21" s="3">
        <v>12364</v>
      </c>
      <c r="C21" s="3" t="s">
        <v>123</v>
      </c>
      <c r="D21" s="3" t="s">
        <v>124</v>
      </c>
      <c r="E21" s="3" t="s">
        <v>125</v>
      </c>
      <c r="F21" s="3">
        <v>2</v>
      </c>
      <c r="G21" s="1" t="s">
        <v>126</v>
      </c>
      <c r="H21" s="3" t="s">
        <v>5</v>
      </c>
      <c r="I21" s="3" t="s">
        <v>21</v>
      </c>
      <c r="J21" s="3" t="s">
        <v>103</v>
      </c>
      <c r="K21" s="1" t="s">
        <v>273</v>
      </c>
      <c r="L21" s="3" t="s">
        <v>100</v>
      </c>
      <c r="M21" s="17">
        <v>43033</v>
      </c>
      <c r="N21" s="13">
        <v>12</v>
      </c>
      <c r="O21" s="12">
        <f t="shared" si="0"/>
        <v>43398</v>
      </c>
      <c r="P21" s="13">
        <f t="shared" si="1"/>
        <v>6776.7944444444438</v>
      </c>
      <c r="Q21" s="13">
        <v>5</v>
      </c>
      <c r="R21" s="13" t="s">
        <v>269</v>
      </c>
      <c r="S21" s="14">
        <v>46045</v>
      </c>
      <c r="T21" s="1" t="s">
        <v>127</v>
      </c>
      <c r="U21" s="13">
        <v>135535.88888888888</v>
      </c>
      <c r="V21" s="20">
        <v>271071.77777777775</v>
      </c>
      <c r="W21" s="3" t="s">
        <v>275</v>
      </c>
      <c r="X21" s="3" t="s">
        <v>6</v>
      </c>
      <c r="Y21" s="3" t="s">
        <v>6</v>
      </c>
      <c r="Z21" s="3" t="s">
        <v>6</v>
      </c>
      <c r="AA21" s="2" t="s">
        <v>272</v>
      </c>
      <c r="AB21" s="15" t="s">
        <v>6</v>
      </c>
      <c r="AC21" s="15" t="s">
        <v>6</v>
      </c>
      <c r="AD21" s="3" t="s">
        <v>128</v>
      </c>
      <c r="AE21" s="3" t="s">
        <v>6</v>
      </c>
    </row>
    <row r="22" spans="1:31" ht="32.4" x14ac:dyDescent="0.3">
      <c r="A22" s="1" t="s">
        <v>129</v>
      </c>
      <c r="B22" s="3">
        <v>12365</v>
      </c>
      <c r="C22" s="1" t="s">
        <v>68</v>
      </c>
      <c r="D22" s="3" t="s">
        <v>69</v>
      </c>
      <c r="E22" s="3" t="s">
        <v>41</v>
      </c>
      <c r="F22" s="3">
        <v>1</v>
      </c>
      <c r="G22" s="1" t="s">
        <v>126</v>
      </c>
      <c r="H22" s="3" t="s">
        <v>5</v>
      </c>
      <c r="I22" s="3" t="s">
        <v>76</v>
      </c>
      <c r="J22" s="3" t="s">
        <v>103</v>
      </c>
      <c r="K22" s="1" t="s">
        <v>273</v>
      </c>
      <c r="L22" s="3" t="s">
        <v>100</v>
      </c>
      <c r="M22" s="12">
        <v>45495</v>
      </c>
      <c r="N22" s="13">
        <v>12</v>
      </c>
      <c r="O22" s="12">
        <f t="shared" si="0"/>
        <v>45860</v>
      </c>
      <c r="P22" s="13">
        <f t="shared" si="1"/>
        <v>1563</v>
      </c>
      <c r="Q22" s="13">
        <v>3</v>
      </c>
      <c r="R22" s="13" t="s">
        <v>269</v>
      </c>
      <c r="S22" s="14">
        <v>46041</v>
      </c>
      <c r="T22" s="1" t="s">
        <v>24</v>
      </c>
      <c r="U22" s="20">
        <v>52100</v>
      </c>
      <c r="V22" s="20">
        <v>52100</v>
      </c>
      <c r="W22" s="3" t="s">
        <v>275</v>
      </c>
      <c r="X22" s="7" t="s">
        <v>14</v>
      </c>
      <c r="Y22" s="1" t="s">
        <v>15</v>
      </c>
      <c r="Z22" s="1" t="s">
        <v>16</v>
      </c>
      <c r="AA22" s="2" t="s">
        <v>272</v>
      </c>
      <c r="AB22" s="15" t="str">
        <f t="shared" si="2"/>
        <v xml:space="preserve"> 400601</v>
      </c>
      <c r="AC22" s="15" t="s">
        <v>266</v>
      </c>
      <c r="AD22" s="1" t="s">
        <v>22</v>
      </c>
      <c r="AE22" s="6" t="s">
        <v>130</v>
      </c>
    </row>
    <row r="23" spans="1:31" ht="32.4" x14ac:dyDescent="0.3">
      <c r="A23" s="3" t="s">
        <v>25</v>
      </c>
      <c r="B23" s="3">
        <v>12366</v>
      </c>
      <c r="C23" s="3" t="s">
        <v>131</v>
      </c>
      <c r="D23" s="3" t="s">
        <v>26</v>
      </c>
      <c r="E23" s="3" t="s">
        <v>41</v>
      </c>
      <c r="F23" s="3">
        <v>1</v>
      </c>
      <c r="G23" s="1" t="s">
        <v>12</v>
      </c>
      <c r="H23" s="3" t="s">
        <v>5</v>
      </c>
      <c r="I23" s="3" t="s">
        <v>76</v>
      </c>
      <c r="J23" s="3" t="s">
        <v>103</v>
      </c>
      <c r="K23" s="1" t="s">
        <v>273</v>
      </c>
      <c r="L23" s="3" t="s">
        <v>100</v>
      </c>
      <c r="M23" s="12">
        <v>45191</v>
      </c>
      <c r="N23" s="13">
        <v>12</v>
      </c>
      <c r="O23" s="12">
        <f t="shared" si="0"/>
        <v>45557</v>
      </c>
      <c r="P23" s="13">
        <f t="shared" si="1"/>
        <v>405.47999999999996</v>
      </c>
      <c r="Q23" s="13">
        <v>3</v>
      </c>
      <c r="R23" s="13" t="s">
        <v>269</v>
      </c>
      <c r="S23" s="14">
        <v>46032</v>
      </c>
      <c r="T23" s="1" t="s">
        <v>27</v>
      </c>
      <c r="U23" s="20">
        <v>13516</v>
      </c>
      <c r="V23" s="20">
        <v>13516</v>
      </c>
      <c r="W23" s="3" t="s">
        <v>275</v>
      </c>
      <c r="X23" s="1" t="s">
        <v>14</v>
      </c>
      <c r="Y23" s="1" t="s">
        <v>15</v>
      </c>
      <c r="Z23" s="1" t="s">
        <v>16</v>
      </c>
      <c r="AA23" s="2" t="s">
        <v>272</v>
      </c>
      <c r="AB23" s="15" t="str">
        <f t="shared" si="2"/>
        <v xml:space="preserve"> 400601</v>
      </c>
      <c r="AC23" s="15" t="s">
        <v>266</v>
      </c>
      <c r="AD23" s="1" t="s">
        <v>17</v>
      </c>
      <c r="AE23" s="6" t="s">
        <v>132</v>
      </c>
    </row>
    <row r="24" spans="1:31" ht="22.2" x14ac:dyDescent="0.3">
      <c r="A24" s="3" t="s">
        <v>37</v>
      </c>
      <c r="B24" s="3">
        <v>12367</v>
      </c>
      <c r="C24" s="3" t="s">
        <v>38</v>
      </c>
      <c r="D24" s="1" t="s">
        <v>34</v>
      </c>
      <c r="E24" s="3" t="s">
        <v>41</v>
      </c>
      <c r="F24" s="3">
        <v>1</v>
      </c>
      <c r="G24" s="2" t="s">
        <v>35</v>
      </c>
      <c r="H24" s="3" t="s">
        <v>5</v>
      </c>
      <c r="I24" s="3" t="s">
        <v>30</v>
      </c>
      <c r="J24" s="3" t="s">
        <v>103</v>
      </c>
      <c r="K24" s="1" t="s">
        <v>273</v>
      </c>
      <c r="L24" s="3" t="s">
        <v>100</v>
      </c>
      <c r="M24" s="19">
        <v>44968</v>
      </c>
      <c r="N24" s="13">
        <v>12</v>
      </c>
      <c r="O24" s="12">
        <f t="shared" si="0"/>
        <v>45333</v>
      </c>
      <c r="P24" s="13">
        <f t="shared" si="1"/>
        <v>820.1</v>
      </c>
      <c r="Q24" s="13">
        <v>10</v>
      </c>
      <c r="R24" s="13" t="s">
        <v>269</v>
      </c>
      <c r="S24" s="19">
        <v>46032</v>
      </c>
      <c r="T24" s="2" t="s">
        <v>39</v>
      </c>
      <c r="U24" s="20">
        <v>8201</v>
      </c>
      <c r="V24" s="20">
        <v>8201</v>
      </c>
      <c r="W24" s="3" t="s">
        <v>275</v>
      </c>
      <c r="X24" s="7" t="s">
        <v>36</v>
      </c>
      <c r="Y24" s="1">
        <v>9930806009</v>
      </c>
      <c r="Z24" s="1" t="s">
        <v>47</v>
      </c>
      <c r="AA24" s="2" t="s">
        <v>272</v>
      </c>
      <c r="AB24" s="15" t="str">
        <f t="shared" si="2"/>
        <v xml:space="preserve"> 400607</v>
      </c>
      <c r="AC24" s="15" t="s">
        <v>266</v>
      </c>
      <c r="AD24" s="1" t="s">
        <v>17</v>
      </c>
      <c r="AE24" s="6" t="s">
        <v>37</v>
      </c>
    </row>
    <row r="25" spans="1:31" ht="22.2" x14ac:dyDescent="0.3">
      <c r="A25" s="1" t="s">
        <v>52</v>
      </c>
      <c r="B25" s="3">
        <v>12368</v>
      </c>
      <c r="C25" s="3" t="s">
        <v>40</v>
      </c>
      <c r="D25" s="3" t="s">
        <v>46</v>
      </c>
      <c r="E25" s="3" t="s">
        <v>41</v>
      </c>
      <c r="F25" s="3">
        <v>3</v>
      </c>
      <c r="G25" s="2" t="s">
        <v>35</v>
      </c>
      <c r="H25" s="3" t="s">
        <v>5</v>
      </c>
      <c r="I25" s="3" t="s">
        <v>30</v>
      </c>
      <c r="J25" s="3" t="s">
        <v>103</v>
      </c>
      <c r="K25" s="1" t="s">
        <v>273</v>
      </c>
      <c r="L25" s="3" t="s">
        <v>100</v>
      </c>
      <c r="M25" s="19">
        <v>44968</v>
      </c>
      <c r="N25" s="13">
        <v>12</v>
      </c>
      <c r="O25" s="12">
        <f t="shared" si="0"/>
        <v>45333</v>
      </c>
      <c r="P25" s="13">
        <f t="shared" si="1"/>
        <v>761.1</v>
      </c>
      <c r="Q25" s="13">
        <v>10</v>
      </c>
      <c r="R25" s="13" t="s">
        <v>269</v>
      </c>
      <c r="S25" s="19">
        <v>46032</v>
      </c>
      <c r="T25" s="2" t="s">
        <v>39</v>
      </c>
      <c r="U25" s="20">
        <v>7611</v>
      </c>
      <c r="V25" s="20">
        <v>22833</v>
      </c>
      <c r="W25" s="3" t="s">
        <v>275</v>
      </c>
      <c r="X25" s="7" t="s">
        <v>36</v>
      </c>
      <c r="Y25" s="1">
        <v>9930806009</v>
      </c>
      <c r="Z25" s="1" t="s">
        <v>47</v>
      </c>
      <c r="AA25" s="2" t="s">
        <v>272</v>
      </c>
      <c r="AB25" s="15" t="str">
        <f t="shared" si="2"/>
        <v xml:space="preserve"> 400607</v>
      </c>
      <c r="AC25" s="15" t="s">
        <v>266</v>
      </c>
      <c r="AD25" s="1" t="s">
        <v>17</v>
      </c>
      <c r="AE25" s="7" t="s">
        <v>52</v>
      </c>
    </row>
    <row r="26" spans="1:31" ht="32.4" x14ac:dyDescent="0.3">
      <c r="A26" s="3" t="s">
        <v>7</v>
      </c>
      <c r="B26" s="3">
        <v>12369</v>
      </c>
      <c r="C26" s="1" t="s">
        <v>28</v>
      </c>
      <c r="D26" s="3" t="s">
        <v>26</v>
      </c>
      <c r="E26" s="3" t="s">
        <v>29</v>
      </c>
      <c r="F26" s="3">
        <v>1</v>
      </c>
      <c r="G26" s="1" t="s">
        <v>8</v>
      </c>
      <c r="H26" s="3" t="s">
        <v>5</v>
      </c>
      <c r="I26" s="3" t="s">
        <v>76</v>
      </c>
      <c r="J26" s="3" t="s">
        <v>103</v>
      </c>
      <c r="K26" s="1" t="s">
        <v>273</v>
      </c>
      <c r="L26" s="3" t="s">
        <v>100</v>
      </c>
      <c r="M26" s="19">
        <v>45151</v>
      </c>
      <c r="N26" s="13">
        <v>12</v>
      </c>
      <c r="O26" s="12">
        <f t="shared" si="0"/>
        <v>45517</v>
      </c>
      <c r="P26" s="13">
        <f t="shared" si="1"/>
        <v>1500</v>
      </c>
      <c r="Q26" s="13">
        <v>3</v>
      </c>
      <c r="R26" s="13" t="s">
        <v>269</v>
      </c>
      <c r="S26" s="14">
        <v>46032</v>
      </c>
      <c r="T26" s="3">
        <v>104</v>
      </c>
      <c r="U26" s="20">
        <v>50000</v>
      </c>
      <c r="V26" s="20">
        <v>50000</v>
      </c>
      <c r="W26" s="3" t="s">
        <v>275</v>
      </c>
      <c r="X26" s="7" t="s">
        <v>9</v>
      </c>
      <c r="Y26" s="1">
        <v>9324349923</v>
      </c>
      <c r="Z26" s="1" t="s">
        <v>10</v>
      </c>
      <c r="AA26" s="2" t="s">
        <v>272</v>
      </c>
      <c r="AB26" s="15" t="str">
        <f t="shared" si="2"/>
        <v xml:space="preserve"> 400601</v>
      </c>
      <c r="AC26" s="15" t="s">
        <v>266</v>
      </c>
      <c r="AD26" s="1" t="s">
        <v>17</v>
      </c>
      <c r="AE26" s="6" t="s">
        <v>7</v>
      </c>
    </row>
    <row r="27" spans="1:31" ht="22.2" x14ac:dyDescent="0.3">
      <c r="A27" s="3" t="s">
        <v>37</v>
      </c>
      <c r="B27" s="3">
        <v>12370</v>
      </c>
      <c r="C27" s="3" t="s">
        <v>38</v>
      </c>
      <c r="D27" s="3" t="s">
        <v>34</v>
      </c>
      <c r="E27" s="3" t="s">
        <v>29</v>
      </c>
      <c r="F27" s="3">
        <v>1</v>
      </c>
      <c r="G27" s="2" t="s">
        <v>35</v>
      </c>
      <c r="H27" s="3" t="s">
        <v>5</v>
      </c>
      <c r="I27" s="3" t="s">
        <v>30</v>
      </c>
      <c r="J27" s="3" t="s">
        <v>103</v>
      </c>
      <c r="K27" s="1" t="s">
        <v>273</v>
      </c>
      <c r="L27" s="3" t="s">
        <v>100</v>
      </c>
      <c r="M27" s="19">
        <v>44968</v>
      </c>
      <c r="N27" s="13">
        <v>12</v>
      </c>
      <c r="O27" s="12">
        <f t="shared" si="0"/>
        <v>45333</v>
      </c>
      <c r="P27" s="13">
        <f t="shared" si="1"/>
        <v>820.1</v>
      </c>
      <c r="Q27" s="13">
        <v>10</v>
      </c>
      <c r="R27" s="13" t="s">
        <v>269</v>
      </c>
      <c r="S27" s="19">
        <v>46032</v>
      </c>
      <c r="T27" s="2" t="s">
        <v>39</v>
      </c>
      <c r="U27" s="20">
        <v>8201</v>
      </c>
      <c r="V27" s="20">
        <v>8201</v>
      </c>
      <c r="W27" s="3" t="s">
        <v>275</v>
      </c>
      <c r="X27" s="7" t="s">
        <v>36</v>
      </c>
      <c r="Y27" s="1">
        <v>9930806009</v>
      </c>
      <c r="Z27" s="1" t="s">
        <v>47</v>
      </c>
      <c r="AA27" s="2" t="s">
        <v>272</v>
      </c>
      <c r="AB27" s="15" t="str">
        <f t="shared" si="2"/>
        <v xml:space="preserve"> 400607</v>
      </c>
      <c r="AC27" s="15" t="s">
        <v>266</v>
      </c>
      <c r="AD27" s="1" t="s">
        <v>17</v>
      </c>
      <c r="AE27" s="6" t="s">
        <v>37</v>
      </c>
    </row>
    <row r="28" spans="1:31" ht="22.2" x14ac:dyDescent="0.3">
      <c r="A28" s="3" t="s">
        <v>52</v>
      </c>
      <c r="B28" s="3">
        <v>12371</v>
      </c>
      <c r="C28" s="2" t="s">
        <v>40</v>
      </c>
      <c r="D28" s="3" t="s">
        <v>70</v>
      </c>
      <c r="E28" s="3" t="s">
        <v>29</v>
      </c>
      <c r="F28" s="3">
        <v>4</v>
      </c>
      <c r="G28" s="2" t="s">
        <v>35</v>
      </c>
      <c r="H28" s="3" t="s">
        <v>5</v>
      </c>
      <c r="I28" s="3" t="s">
        <v>30</v>
      </c>
      <c r="J28" s="3" t="s">
        <v>103</v>
      </c>
      <c r="K28" s="1" t="s">
        <v>273</v>
      </c>
      <c r="L28" s="3" t="s">
        <v>100</v>
      </c>
      <c r="M28" s="19">
        <v>44968</v>
      </c>
      <c r="N28" s="13">
        <v>12</v>
      </c>
      <c r="O28" s="12">
        <f t="shared" si="0"/>
        <v>45333</v>
      </c>
      <c r="P28" s="13">
        <f t="shared" si="1"/>
        <v>761.1</v>
      </c>
      <c r="Q28" s="13">
        <v>10</v>
      </c>
      <c r="R28" s="13" t="s">
        <v>269</v>
      </c>
      <c r="S28" s="19">
        <v>46032</v>
      </c>
      <c r="T28" s="2" t="s">
        <v>39</v>
      </c>
      <c r="U28" s="20">
        <v>7611</v>
      </c>
      <c r="V28" s="20">
        <v>30444</v>
      </c>
      <c r="W28" s="3" t="s">
        <v>275</v>
      </c>
      <c r="X28" s="7" t="s">
        <v>36</v>
      </c>
      <c r="Y28" s="1">
        <v>9930806009</v>
      </c>
      <c r="Z28" s="1" t="s">
        <v>47</v>
      </c>
      <c r="AA28" s="2" t="s">
        <v>272</v>
      </c>
      <c r="AB28" s="15" t="str">
        <f t="shared" si="2"/>
        <v xml:space="preserve"> 400607</v>
      </c>
      <c r="AC28" s="15" t="s">
        <v>266</v>
      </c>
      <c r="AD28" s="1" t="s">
        <v>17</v>
      </c>
      <c r="AE28" s="6" t="s">
        <v>52</v>
      </c>
    </row>
  </sheetData>
  <autoFilter ref="A1:AE28" xr:uid="{00000000-0001-0000-0000-000000000000}"/>
  <hyperlinks>
    <hyperlink ref="AE5" r:id="rId1" xr:uid="{EE4BFA1D-6625-463F-943D-AEA59A1D75FA}"/>
    <hyperlink ref="AE6" r:id="rId2" xr:uid="{B058A90F-55E3-46A5-B6C3-53CEE83330E9}"/>
    <hyperlink ref="AE7" r:id="rId3" xr:uid="{692C61F6-B1B7-4C50-B281-C352728B3CFB}"/>
    <hyperlink ref="X5" r:id="rId4" xr:uid="{C04EDDC2-7E2B-496C-A731-6FCCDEF75522}"/>
    <hyperlink ref="X6" r:id="rId5" xr:uid="{6FE29405-BCD9-44C2-A251-B01EEA8DA6F6}"/>
    <hyperlink ref="X7" r:id="rId6" xr:uid="{1AB43794-71CC-4359-8BE8-3A0738FC093D}"/>
    <hyperlink ref="AE8" r:id="rId7" xr:uid="{38F81375-9132-477E-BC00-E133C8D2B28A}"/>
    <hyperlink ref="AE9" r:id="rId8" xr:uid="{BACDC34A-6B0C-469F-BFA8-FDBCCED48AE0}"/>
    <hyperlink ref="X8" r:id="rId9" xr:uid="{85799E24-1871-4681-9DC4-B572AE1F789D}"/>
    <hyperlink ref="X9" r:id="rId10" xr:uid="{F7F6AC16-0E3B-4800-83FA-A52EC2EE93E8}"/>
    <hyperlink ref="X10" r:id="rId11" xr:uid="{F1D3047B-37A2-479E-BB6B-470F31334A5D}"/>
    <hyperlink ref="AE10" r:id="rId12" xr:uid="{2511A8D1-1A6C-4614-844D-433ABAB1772B}"/>
    <hyperlink ref="X14" r:id="rId13" xr:uid="{101F6D1C-CB88-4E16-8E2D-1B33E8522965}"/>
    <hyperlink ref="AE15" r:id="rId14" xr:uid="{2FAADDE6-E4AB-4C84-BA19-C7DF6408C43F}"/>
    <hyperlink ref="AE16" r:id="rId15" xr:uid="{7C52D15D-8819-4111-B3FC-9B170E3DBB6C}"/>
    <hyperlink ref="X16" r:id="rId16" xr:uid="{20DE73A0-3B93-4840-BEE5-D713B3399816}"/>
    <hyperlink ref="X17" r:id="rId17" xr:uid="{ECA86AC7-1F2E-4ADF-A017-F9B797ACEB8A}"/>
    <hyperlink ref="AE18" r:id="rId18" xr:uid="{25078974-55DC-424A-899E-05DCFEC26F35}"/>
    <hyperlink ref="X18" r:id="rId19" xr:uid="{2BADE564-E097-4674-8556-3DAEC20D346B}"/>
    <hyperlink ref="AE19" r:id="rId20" xr:uid="{309D3732-B831-4BE9-8A2F-BFCFE9B029C7}"/>
    <hyperlink ref="X19" r:id="rId21" xr:uid="{9505CC71-B78D-4811-BA9F-837A839232EF}"/>
    <hyperlink ref="X20" r:id="rId22" xr:uid="{C996D416-0B13-42DE-8A8B-7EA517259331}"/>
    <hyperlink ref="AE22" r:id="rId23" xr:uid="{F05A6F74-D4BC-4842-88B8-65D72478D105}"/>
    <hyperlink ref="AE23" r:id="rId24" xr:uid="{6600FF4C-D89F-495F-AFAF-F223B2165FF2}"/>
    <hyperlink ref="X22" r:id="rId25" xr:uid="{9CF8B6ED-B91A-41EB-97E8-E734CFEAA4B8}"/>
    <hyperlink ref="X24" r:id="rId26" xr:uid="{1F9331B5-309A-4911-9514-7F7563E09BD7}"/>
    <hyperlink ref="X25" r:id="rId27" xr:uid="{9C6FC494-0D20-4832-B8A8-528D6FC4592D}"/>
    <hyperlink ref="AE24" r:id="rId28" xr:uid="{D763D934-351B-4EDB-85A3-34DE8B436CD2}"/>
    <hyperlink ref="AE25" r:id="rId29" xr:uid="{92284835-4B12-4872-9C79-7A3E1F4B18A0}"/>
    <hyperlink ref="X26" r:id="rId30" xr:uid="{20FB3C4A-5DAE-4CFD-87D0-BC6EA14AB037}"/>
    <hyperlink ref="AE26" r:id="rId31" xr:uid="{D2F06258-E49D-4E90-ACA9-94AA43041BC6}"/>
    <hyperlink ref="X27" r:id="rId32" xr:uid="{52876590-1F16-4E03-A16F-0ECCFF184A6C}"/>
    <hyperlink ref="X28" r:id="rId33" xr:uid="{095EF084-EA18-4867-B08B-948363AD8423}"/>
    <hyperlink ref="AE27" r:id="rId34" xr:uid="{1C11ADD5-08AD-4518-BEA3-69D2802E65E3}"/>
    <hyperlink ref="AE28" r:id="rId35" xr:uid="{F2EA0520-3B19-463A-906A-C2FA383BD7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D05B-7F64-44F9-9D78-BF272E99F3AB}">
  <dimension ref="A3:E189"/>
  <sheetViews>
    <sheetView workbookViewId="0">
      <selection activeCell="E4" sqref="E4"/>
    </sheetView>
  </sheetViews>
  <sheetFormatPr defaultRowHeight="15" x14ac:dyDescent="0.25"/>
  <cols>
    <col min="1" max="1" width="28.88671875" style="9" bestFit="1" customWidth="1"/>
    <col min="2" max="2" width="10.88671875" style="9" bestFit="1" customWidth="1"/>
    <col min="3" max="3" width="8.88671875" style="9"/>
    <col min="4" max="4" width="11.44140625" style="9" customWidth="1"/>
    <col min="5" max="5" width="10.88671875" style="9" bestFit="1" customWidth="1"/>
    <col min="6" max="16384" width="8.88671875" style="9"/>
  </cols>
  <sheetData>
    <row r="3" spans="1:5" x14ac:dyDescent="0.25">
      <c r="A3" s="8" t="s">
        <v>251</v>
      </c>
      <c r="B3" s="8" t="s">
        <v>250</v>
      </c>
      <c r="C3" s="8" t="s">
        <v>2</v>
      </c>
      <c r="D3" s="8" t="s">
        <v>94</v>
      </c>
      <c r="E3" s="9" t="s">
        <v>252</v>
      </c>
    </row>
    <row r="4" spans="1:5" x14ac:dyDescent="0.25">
      <c r="A4" s="9" t="s">
        <v>140</v>
      </c>
      <c r="B4" s="9" t="s">
        <v>46</v>
      </c>
      <c r="C4" s="9">
        <v>10936</v>
      </c>
      <c r="D4" s="9" t="s">
        <v>109</v>
      </c>
      <c r="E4" s="9">
        <v>1</v>
      </c>
    </row>
    <row r="5" spans="1:5" x14ac:dyDescent="0.25">
      <c r="C5" s="9" t="s">
        <v>152</v>
      </c>
      <c r="E5" s="9">
        <v>1</v>
      </c>
    </row>
    <row r="6" spans="1:5" x14ac:dyDescent="0.25">
      <c r="C6" s="9">
        <v>13500</v>
      </c>
      <c r="D6" s="9" t="s">
        <v>84</v>
      </c>
      <c r="E6" s="9">
        <v>2</v>
      </c>
    </row>
    <row r="7" spans="1:5" x14ac:dyDescent="0.25">
      <c r="C7" s="9" t="s">
        <v>153</v>
      </c>
      <c r="E7" s="9">
        <v>2</v>
      </c>
    </row>
    <row r="8" spans="1:5" x14ac:dyDescent="0.25">
      <c r="B8" s="9" t="s">
        <v>154</v>
      </c>
      <c r="E8" s="9">
        <v>3</v>
      </c>
    </row>
    <row r="9" spans="1:5" x14ac:dyDescent="0.25">
      <c r="A9" s="9" t="s">
        <v>155</v>
      </c>
      <c r="E9" s="9">
        <v>3</v>
      </c>
    </row>
    <row r="10" spans="1:5" x14ac:dyDescent="0.25">
      <c r="A10" s="9" t="s">
        <v>133</v>
      </c>
      <c r="B10" s="9" t="s">
        <v>134</v>
      </c>
      <c r="C10" s="9">
        <v>46611.6</v>
      </c>
      <c r="D10" s="9" t="s">
        <v>109</v>
      </c>
      <c r="E10" s="9">
        <v>1</v>
      </c>
    </row>
    <row r="11" spans="1:5" x14ac:dyDescent="0.25">
      <c r="C11" s="9" t="s">
        <v>156</v>
      </c>
      <c r="E11" s="9">
        <v>1</v>
      </c>
    </row>
    <row r="12" spans="1:5" x14ac:dyDescent="0.25">
      <c r="B12" s="9" t="s">
        <v>157</v>
      </c>
      <c r="E12" s="9">
        <v>1</v>
      </c>
    </row>
    <row r="13" spans="1:5" x14ac:dyDescent="0.25">
      <c r="B13" s="9" t="s">
        <v>143</v>
      </c>
      <c r="C13" s="9">
        <v>42174</v>
      </c>
      <c r="D13" s="9" t="s">
        <v>22</v>
      </c>
      <c r="E13" s="9">
        <v>2</v>
      </c>
    </row>
    <row r="14" spans="1:5" x14ac:dyDescent="0.25">
      <c r="C14" s="9" t="s">
        <v>158</v>
      </c>
      <c r="E14" s="9">
        <v>2</v>
      </c>
    </row>
    <row r="15" spans="1:5" x14ac:dyDescent="0.25">
      <c r="B15" s="9" t="s">
        <v>159</v>
      </c>
      <c r="E15" s="9">
        <v>2</v>
      </c>
    </row>
    <row r="16" spans="1:5" x14ac:dyDescent="0.25">
      <c r="A16" s="9" t="s">
        <v>160</v>
      </c>
      <c r="E16" s="9">
        <v>3</v>
      </c>
    </row>
    <row r="17" spans="1:5" x14ac:dyDescent="0.25">
      <c r="A17" s="9" t="s">
        <v>136</v>
      </c>
      <c r="B17" s="9" t="s">
        <v>137</v>
      </c>
      <c r="C17" s="9">
        <v>23062</v>
      </c>
      <c r="D17" s="9" t="s">
        <v>138</v>
      </c>
      <c r="E17" s="9">
        <v>2</v>
      </c>
    </row>
    <row r="18" spans="1:5" x14ac:dyDescent="0.25">
      <c r="C18" s="9" t="s">
        <v>161</v>
      </c>
      <c r="E18" s="9">
        <v>2</v>
      </c>
    </row>
    <row r="19" spans="1:5" x14ac:dyDescent="0.25">
      <c r="B19" s="9" t="s">
        <v>162</v>
      </c>
      <c r="E19" s="9">
        <v>2</v>
      </c>
    </row>
    <row r="20" spans="1:5" x14ac:dyDescent="0.25">
      <c r="A20" s="9" t="s">
        <v>163</v>
      </c>
      <c r="E20" s="9">
        <v>2</v>
      </c>
    </row>
    <row r="21" spans="1:5" x14ac:dyDescent="0.25">
      <c r="A21" s="9" t="s">
        <v>56</v>
      </c>
      <c r="B21" s="9" t="s">
        <v>72</v>
      </c>
      <c r="C21" s="9">
        <v>5347</v>
      </c>
      <c r="D21" s="9" t="s">
        <v>142</v>
      </c>
      <c r="E21" s="9">
        <v>5</v>
      </c>
    </row>
    <row r="22" spans="1:5" x14ac:dyDescent="0.25">
      <c r="C22" s="9" t="s">
        <v>164</v>
      </c>
      <c r="E22" s="9">
        <v>5</v>
      </c>
    </row>
    <row r="23" spans="1:5" x14ac:dyDescent="0.25">
      <c r="B23" s="9" t="s">
        <v>165</v>
      </c>
      <c r="E23" s="9">
        <v>5</v>
      </c>
    </row>
    <row r="24" spans="1:5" x14ac:dyDescent="0.25">
      <c r="A24" s="9" t="s">
        <v>166</v>
      </c>
      <c r="E24" s="9">
        <v>5</v>
      </c>
    </row>
    <row r="25" spans="1:5" x14ac:dyDescent="0.25">
      <c r="A25" s="9" t="s">
        <v>55</v>
      </c>
      <c r="B25" s="9" t="s">
        <v>6</v>
      </c>
      <c r="C25" s="9">
        <v>3050</v>
      </c>
      <c r="D25" s="9" t="s">
        <v>142</v>
      </c>
      <c r="E25" s="9">
        <v>4</v>
      </c>
    </row>
    <row r="26" spans="1:5" x14ac:dyDescent="0.25">
      <c r="C26" s="9" t="s">
        <v>167</v>
      </c>
      <c r="E26" s="9">
        <v>4</v>
      </c>
    </row>
    <row r="27" spans="1:5" x14ac:dyDescent="0.25">
      <c r="B27" s="9" t="s">
        <v>168</v>
      </c>
      <c r="E27" s="9">
        <v>4</v>
      </c>
    </row>
    <row r="28" spans="1:5" x14ac:dyDescent="0.25">
      <c r="A28" s="9" t="s">
        <v>169</v>
      </c>
      <c r="E28" s="9">
        <v>4</v>
      </c>
    </row>
    <row r="29" spans="1:5" x14ac:dyDescent="0.25">
      <c r="A29" s="9" t="s">
        <v>145</v>
      </c>
      <c r="B29" s="9" t="s">
        <v>46</v>
      </c>
      <c r="C29" s="9">
        <v>10311.291428571429</v>
      </c>
      <c r="D29" s="9" t="s">
        <v>85</v>
      </c>
      <c r="E29" s="9">
        <v>2</v>
      </c>
    </row>
    <row r="30" spans="1:5" x14ac:dyDescent="0.25">
      <c r="C30" s="9" t="s">
        <v>170</v>
      </c>
      <c r="E30" s="9">
        <v>2</v>
      </c>
    </row>
    <row r="31" spans="1:5" x14ac:dyDescent="0.25">
      <c r="B31" s="9" t="s">
        <v>154</v>
      </c>
      <c r="E31" s="9">
        <v>2</v>
      </c>
    </row>
    <row r="32" spans="1:5" x14ac:dyDescent="0.25">
      <c r="A32" s="9" t="s">
        <v>171</v>
      </c>
      <c r="E32" s="9">
        <v>2</v>
      </c>
    </row>
    <row r="33" spans="1:5" x14ac:dyDescent="0.25">
      <c r="A33" s="9" t="s">
        <v>147</v>
      </c>
      <c r="B33" s="9" t="s">
        <v>46</v>
      </c>
      <c r="C33" s="9">
        <v>15697.731428571427</v>
      </c>
      <c r="D33" s="9" t="s">
        <v>85</v>
      </c>
      <c r="E33" s="9">
        <v>2</v>
      </c>
    </row>
    <row r="34" spans="1:5" x14ac:dyDescent="0.25">
      <c r="C34" s="9" t="s">
        <v>172</v>
      </c>
      <c r="E34" s="9">
        <v>2</v>
      </c>
    </row>
    <row r="35" spans="1:5" x14ac:dyDescent="0.25">
      <c r="B35" s="9" t="s">
        <v>154</v>
      </c>
      <c r="E35" s="9">
        <v>2</v>
      </c>
    </row>
    <row r="36" spans="1:5" x14ac:dyDescent="0.25">
      <c r="A36" s="9" t="s">
        <v>173</v>
      </c>
      <c r="E36" s="9">
        <v>2</v>
      </c>
    </row>
    <row r="37" spans="1:5" x14ac:dyDescent="0.25">
      <c r="A37" s="9" t="s">
        <v>139</v>
      </c>
      <c r="B37" s="9" t="s">
        <v>46</v>
      </c>
      <c r="C37" s="9">
        <v>7611</v>
      </c>
      <c r="D37" s="9" t="s">
        <v>17</v>
      </c>
      <c r="E37" s="9">
        <v>1</v>
      </c>
    </row>
    <row r="38" spans="1:5" x14ac:dyDescent="0.25">
      <c r="C38" s="9" t="s">
        <v>174</v>
      </c>
      <c r="E38" s="9">
        <v>1</v>
      </c>
    </row>
    <row r="39" spans="1:5" x14ac:dyDescent="0.25">
      <c r="B39" s="9" t="s">
        <v>154</v>
      </c>
      <c r="E39" s="9">
        <v>1</v>
      </c>
    </row>
    <row r="40" spans="1:5" x14ac:dyDescent="0.25">
      <c r="A40" s="9" t="s">
        <v>175</v>
      </c>
      <c r="E40" s="9">
        <v>1</v>
      </c>
    </row>
    <row r="41" spans="1:5" x14ac:dyDescent="0.25">
      <c r="A41" s="9" t="s">
        <v>129</v>
      </c>
      <c r="B41" s="9" t="s">
        <v>23</v>
      </c>
      <c r="C41" s="9">
        <v>52100</v>
      </c>
      <c r="D41" s="9" t="s">
        <v>22</v>
      </c>
      <c r="E41" s="9">
        <v>1</v>
      </c>
    </row>
    <row r="42" spans="1:5" x14ac:dyDescent="0.25">
      <c r="C42" s="9" t="s">
        <v>176</v>
      </c>
      <c r="E42" s="9">
        <v>1</v>
      </c>
    </row>
    <row r="43" spans="1:5" x14ac:dyDescent="0.25">
      <c r="B43" s="9" t="s">
        <v>177</v>
      </c>
      <c r="E43" s="9">
        <v>1</v>
      </c>
    </row>
    <row r="44" spans="1:5" x14ac:dyDescent="0.25">
      <c r="B44" s="9" t="s">
        <v>69</v>
      </c>
      <c r="C44" s="9">
        <v>52100</v>
      </c>
      <c r="D44" s="9" t="s">
        <v>22</v>
      </c>
      <c r="E44" s="9">
        <v>1</v>
      </c>
    </row>
    <row r="45" spans="1:5" x14ac:dyDescent="0.25">
      <c r="C45" s="9" t="s">
        <v>176</v>
      </c>
      <c r="E45" s="9">
        <v>1</v>
      </c>
    </row>
    <row r="46" spans="1:5" x14ac:dyDescent="0.25">
      <c r="B46" s="9" t="s">
        <v>178</v>
      </c>
      <c r="E46" s="9">
        <v>1</v>
      </c>
    </row>
    <row r="47" spans="1:5" x14ac:dyDescent="0.25">
      <c r="B47" s="9" t="s">
        <v>71</v>
      </c>
      <c r="C47" s="9">
        <v>40800</v>
      </c>
      <c r="D47" s="9" t="s">
        <v>85</v>
      </c>
      <c r="E47" s="9">
        <v>1</v>
      </c>
    </row>
    <row r="48" spans="1:5" x14ac:dyDescent="0.25">
      <c r="C48" s="9" t="s">
        <v>179</v>
      </c>
      <c r="E48" s="9">
        <v>1</v>
      </c>
    </row>
    <row r="49" spans="1:5" x14ac:dyDescent="0.25">
      <c r="B49" s="9" t="s">
        <v>180</v>
      </c>
      <c r="E49" s="9">
        <v>1</v>
      </c>
    </row>
    <row r="50" spans="1:5" x14ac:dyDescent="0.25">
      <c r="A50" s="9" t="s">
        <v>181</v>
      </c>
      <c r="E50" s="9">
        <v>3</v>
      </c>
    </row>
    <row r="51" spans="1:5" x14ac:dyDescent="0.25">
      <c r="A51" s="9" t="s">
        <v>148</v>
      </c>
      <c r="B51" s="9" t="s">
        <v>71</v>
      </c>
      <c r="C51" s="9">
        <v>52100</v>
      </c>
      <c r="D51" s="9" t="s">
        <v>22</v>
      </c>
      <c r="E51" s="9">
        <v>1</v>
      </c>
    </row>
    <row r="52" spans="1:5" x14ac:dyDescent="0.25">
      <c r="C52" s="9" t="s">
        <v>176</v>
      </c>
      <c r="E52" s="9">
        <v>1</v>
      </c>
    </row>
    <row r="53" spans="1:5" x14ac:dyDescent="0.25">
      <c r="B53" s="9" t="s">
        <v>180</v>
      </c>
      <c r="E53" s="9">
        <v>1</v>
      </c>
    </row>
    <row r="54" spans="1:5" x14ac:dyDescent="0.25">
      <c r="A54" s="9" t="s">
        <v>182</v>
      </c>
      <c r="E54" s="9">
        <v>1</v>
      </c>
    </row>
    <row r="55" spans="1:5" x14ac:dyDescent="0.25">
      <c r="A55" s="9" t="s">
        <v>149</v>
      </c>
      <c r="B55" s="9" t="s">
        <v>6</v>
      </c>
      <c r="C55" s="9">
        <v>6530</v>
      </c>
      <c r="D55" s="9" t="s">
        <v>84</v>
      </c>
      <c r="E55" s="9">
        <v>1</v>
      </c>
    </row>
    <row r="56" spans="1:5" x14ac:dyDescent="0.25">
      <c r="C56" s="9" t="s">
        <v>183</v>
      </c>
      <c r="E56" s="9">
        <v>1</v>
      </c>
    </row>
    <row r="57" spans="1:5" x14ac:dyDescent="0.25">
      <c r="B57" s="9" t="s">
        <v>168</v>
      </c>
      <c r="E57" s="9">
        <v>1</v>
      </c>
    </row>
    <row r="58" spans="1:5" x14ac:dyDescent="0.25">
      <c r="A58" s="9" t="s">
        <v>184</v>
      </c>
      <c r="E58" s="9">
        <v>1</v>
      </c>
    </row>
    <row r="59" spans="1:5" x14ac:dyDescent="0.25">
      <c r="A59" s="9" t="s">
        <v>106</v>
      </c>
      <c r="B59" s="9" t="s">
        <v>46</v>
      </c>
      <c r="C59" s="9">
        <v>53908</v>
      </c>
      <c r="D59" s="9" t="s">
        <v>109</v>
      </c>
      <c r="E59" s="9">
        <v>1</v>
      </c>
    </row>
    <row r="60" spans="1:5" x14ac:dyDescent="0.25">
      <c r="C60" s="9" t="s">
        <v>185</v>
      </c>
      <c r="E60" s="9">
        <v>1</v>
      </c>
    </row>
    <row r="61" spans="1:5" x14ac:dyDescent="0.25">
      <c r="B61" s="9" t="s">
        <v>154</v>
      </c>
      <c r="E61" s="9">
        <v>1</v>
      </c>
    </row>
    <row r="62" spans="1:5" x14ac:dyDescent="0.25">
      <c r="A62" s="9" t="s">
        <v>186</v>
      </c>
      <c r="E62" s="9">
        <v>1</v>
      </c>
    </row>
    <row r="63" spans="1:5" x14ac:dyDescent="0.25">
      <c r="A63" s="9" t="s">
        <v>110</v>
      </c>
      <c r="B63" s="9" t="s">
        <v>46</v>
      </c>
      <c r="C63" s="9">
        <v>8931</v>
      </c>
      <c r="D63" s="9" t="s">
        <v>85</v>
      </c>
      <c r="E63" s="9">
        <v>8</v>
      </c>
    </row>
    <row r="64" spans="1:5" x14ac:dyDescent="0.25">
      <c r="C64" s="9" t="s">
        <v>187</v>
      </c>
      <c r="E64" s="9">
        <v>8</v>
      </c>
    </row>
    <row r="65" spans="1:5" x14ac:dyDescent="0.25">
      <c r="B65" s="9" t="s">
        <v>154</v>
      </c>
      <c r="E65" s="9">
        <v>8</v>
      </c>
    </row>
    <row r="66" spans="1:5" x14ac:dyDescent="0.25">
      <c r="A66" s="9" t="s">
        <v>188</v>
      </c>
      <c r="E66" s="9">
        <v>8</v>
      </c>
    </row>
    <row r="67" spans="1:5" x14ac:dyDescent="0.25">
      <c r="A67" s="9" t="s">
        <v>44</v>
      </c>
      <c r="B67" s="9" t="s">
        <v>42</v>
      </c>
      <c r="C67" s="9">
        <v>3600</v>
      </c>
      <c r="D67" s="9" t="s">
        <v>43</v>
      </c>
      <c r="E67" s="9">
        <v>5</v>
      </c>
    </row>
    <row r="68" spans="1:5" x14ac:dyDescent="0.25">
      <c r="C68" s="9" t="s">
        <v>189</v>
      </c>
      <c r="E68" s="9">
        <v>5</v>
      </c>
    </row>
    <row r="69" spans="1:5" x14ac:dyDescent="0.25">
      <c r="B69" s="9" t="s">
        <v>190</v>
      </c>
      <c r="E69" s="9">
        <v>5</v>
      </c>
    </row>
    <row r="70" spans="1:5" x14ac:dyDescent="0.25">
      <c r="A70" s="9" t="s">
        <v>191</v>
      </c>
      <c r="E70" s="9">
        <v>5</v>
      </c>
    </row>
    <row r="71" spans="1:5" x14ac:dyDescent="0.25">
      <c r="A71" s="9" t="s">
        <v>122</v>
      </c>
      <c r="B71" s="9" t="s">
        <v>124</v>
      </c>
      <c r="C71" s="9">
        <v>135535.88888888888</v>
      </c>
      <c r="D71" s="9" t="s">
        <v>128</v>
      </c>
      <c r="E71" s="9">
        <v>2</v>
      </c>
    </row>
    <row r="72" spans="1:5" x14ac:dyDescent="0.25">
      <c r="C72" s="9" t="s">
        <v>192</v>
      </c>
      <c r="E72" s="9">
        <v>2</v>
      </c>
    </row>
    <row r="73" spans="1:5" x14ac:dyDescent="0.25">
      <c r="B73" s="9" t="s">
        <v>193</v>
      </c>
      <c r="E73" s="9">
        <v>2</v>
      </c>
    </row>
    <row r="74" spans="1:5" x14ac:dyDescent="0.25">
      <c r="A74" s="9" t="s">
        <v>194</v>
      </c>
      <c r="E74" s="9">
        <v>2</v>
      </c>
    </row>
    <row r="75" spans="1:5" x14ac:dyDescent="0.25">
      <c r="A75" s="9" t="s">
        <v>48</v>
      </c>
      <c r="B75" s="9" t="s">
        <v>6</v>
      </c>
      <c r="C75" s="9">
        <v>425465</v>
      </c>
      <c r="D75" s="9" t="s">
        <v>84</v>
      </c>
      <c r="E75" s="9">
        <v>1</v>
      </c>
    </row>
    <row r="76" spans="1:5" x14ac:dyDescent="0.25">
      <c r="C76" s="9" t="s">
        <v>195</v>
      </c>
      <c r="E76" s="9">
        <v>1</v>
      </c>
    </row>
    <row r="77" spans="1:5" x14ac:dyDescent="0.25">
      <c r="C77" s="9">
        <v>650472</v>
      </c>
      <c r="D77" s="9" t="s">
        <v>84</v>
      </c>
      <c r="E77" s="9">
        <v>1</v>
      </c>
    </row>
    <row r="78" spans="1:5" x14ac:dyDescent="0.25">
      <c r="C78" s="9" t="s">
        <v>196</v>
      </c>
      <c r="E78" s="9">
        <v>1</v>
      </c>
    </row>
    <row r="79" spans="1:5" x14ac:dyDescent="0.25">
      <c r="B79" s="9" t="s">
        <v>168</v>
      </c>
      <c r="E79" s="9">
        <v>2</v>
      </c>
    </row>
    <row r="80" spans="1:5" x14ac:dyDescent="0.25">
      <c r="A80" s="9" t="s">
        <v>197</v>
      </c>
      <c r="E80" s="9">
        <v>2</v>
      </c>
    </row>
    <row r="81" spans="1:5" x14ac:dyDescent="0.25">
      <c r="A81" s="9" t="s">
        <v>144</v>
      </c>
      <c r="B81" s="9" t="s">
        <v>6</v>
      </c>
      <c r="C81" s="9">
        <v>44925.227272727272</v>
      </c>
      <c r="D81" s="9" t="s">
        <v>138</v>
      </c>
      <c r="E81" s="9">
        <v>22</v>
      </c>
    </row>
    <row r="82" spans="1:5" x14ac:dyDescent="0.25">
      <c r="C82" s="9" t="s">
        <v>198</v>
      </c>
      <c r="E82" s="9">
        <v>22</v>
      </c>
    </row>
    <row r="83" spans="1:5" x14ac:dyDescent="0.25">
      <c r="B83" s="9" t="s">
        <v>168</v>
      </c>
      <c r="E83" s="9">
        <v>22</v>
      </c>
    </row>
    <row r="84" spans="1:5" x14ac:dyDescent="0.25">
      <c r="A84" s="9" t="s">
        <v>199</v>
      </c>
      <c r="E84" s="9">
        <v>22</v>
      </c>
    </row>
    <row r="85" spans="1:5" x14ac:dyDescent="0.25">
      <c r="A85" s="9" t="s">
        <v>135</v>
      </c>
      <c r="B85" s="9" t="s">
        <v>46</v>
      </c>
      <c r="C85" s="9">
        <v>15697.731428571427</v>
      </c>
      <c r="D85" s="9" t="s">
        <v>85</v>
      </c>
      <c r="E85" s="9">
        <v>1</v>
      </c>
    </row>
    <row r="86" spans="1:5" x14ac:dyDescent="0.25">
      <c r="C86" s="9" t="s">
        <v>172</v>
      </c>
      <c r="E86" s="9">
        <v>1</v>
      </c>
    </row>
    <row r="87" spans="1:5" x14ac:dyDescent="0.25">
      <c r="B87" s="9" t="s">
        <v>154</v>
      </c>
      <c r="E87" s="9">
        <v>1</v>
      </c>
    </row>
    <row r="88" spans="1:5" x14ac:dyDescent="0.25">
      <c r="A88" s="9" t="s">
        <v>200</v>
      </c>
      <c r="E88" s="9">
        <v>1</v>
      </c>
    </row>
    <row r="89" spans="1:5" x14ac:dyDescent="0.25">
      <c r="A89" s="9" t="s">
        <v>7</v>
      </c>
      <c r="B89" s="9" t="s">
        <v>26</v>
      </c>
      <c r="C89" s="9">
        <v>50000</v>
      </c>
      <c r="D89" s="9" t="s">
        <v>17</v>
      </c>
      <c r="E89" s="9">
        <v>1</v>
      </c>
    </row>
    <row r="90" spans="1:5" x14ac:dyDescent="0.25">
      <c r="C90" s="9" t="s">
        <v>201</v>
      </c>
      <c r="E90" s="9">
        <v>1</v>
      </c>
    </row>
    <row r="91" spans="1:5" x14ac:dyDescent="0.25">
      <c r="B91" s="9" t="s">
        <v>202</v>
      </c>
      <c r="E91" s="9">
        <v>1</v>
      </c>
    </row>
    <row r="92" spans="1:5" x14ac:dyDescent="0.25">
      <c r="A92" s="9" t="s">
        <v>203</v>
      </c>
      <c r="E92" s="9">
        <v>1</v>
      </c>
    </row>
    <row r="93" spans="1:5" x14ac:dyDescent="0.25">
      <c r="A93" s="9" t="s">
        <v>53</v>
      </c>
      <c r="B93" s="9" t="s">
        <v>46</v>
      </c>
      <c r="C93" s="9">
        <v>9617</v>
      </c>
      <c r="D93" s="9" t="s">
        <v>17</v>
      </c>
      <c r="E93" s="9">
        <v>1</v>
      </c>
    </row>
    <row r="94" spans="1:5" x14ac:dyDescent="0.25">
      <c r="C94" s="9" t="s">
        <v>204</v>
      </c>
      <c r="E94" s="9">
        <v>1</v>
      </c>
    </row>
    <row r="95" spans="1:5" x14ac:dyDescent="0.25">
      <c r="B95" s="9" t="s">
        <v>154</v>
      </c>
      <c r="E95" s="9">
        <v>1</v>
      </c>
    </row>
    <row r="96" spans="1:5" x14ac:dyDescent="0.25">
      <c r="A96" s="9" t="s">
        <v>205</v>
      </c>
      <c r="E96" s="9">
        <v>1</v>
      </c>
    </row>
    <row r="97" spans="1:5" x14ac:dyDescent="0.25">
      <c r="A97" s="9" t="s">
        <v>37</v>
      </c>
      <c r="B97" s="9" t="s">
        <v>34</v>
      </c>
      <c r="C97" s="9">
        <v>7611</v>
      </c>
      <c r="D97" s="9" t="s">
        <v>17</v>
      </c>
      <c r="E97" s="9">
        <v>1</v>
      </c>
    </row>
    <row r="98" spans="1:5" x14ac:dyDescent="0.25">
      <c r="C98" s="9" t="s">
        <v>174</v>
      </c>
      <c r="E98" s="9">
        <v>1</v>
      </c>
    </row>
    <row r="99" spans="1:5" x14ac:dyDescent="0.25">
      <c r="C99" s="9">
        <v>8201</v>
      </c>
      <c r="D99" s="9" t="s">
        <v>17</v>
      </c>
      <c r="E99" s="9">
        <v>6</v>
      </c>
    </row>
    <row r="100" spans="1:5" x14ac:dyDescent="0.25">
      <c r="C100" s="9" t="s">
        <v>206</v>
      </c>
      <c r="E100" s="9">
        <v>6</v>
      </c>
    </row>
    <row r="101" spans="1:5" x14ac:dyDescent="0.25">
      <c r="B101" s="9" t="s">
        <v>207</v>
      </c>
      <c r="E101" s="9">
        <v>7</v>
      </c>
    </row>
    <row r="102" spans="1:5" x14ac:dyDescent="0.25">
      <c r="A102" s="9" t="s">
        <v>208</v>
      </c>
      <c r="E102" s="9">
        <v>7</v>
      </c>
    </row>
    <row r="103" spans="1:5" x14ac:dyDescent="0.25">
      <c r="A103" s="9" t="s">
        <v>57</v>
      </c>
      <c r="B103" s="9" t="s">
        <v>42</v>
      </c>
      <c r="C103" s="9">
        <v>1400</v>
      </c>
      <c r="D103" s="9" t="s">
        <v>43</v>
      </c>
      <c r="E103" s="9">
        <v>1</v>
      </c>
    </row>
    <row r="104" spans="1:5" x14ac:dyDescent="0.25">
      <c r="C104" s="9" t="s">
        <v>209</v>
      </c>
      <c r="E104" s="9">
        <v>1</v>
      </c>
    </row>
    <row r="105" spans="1:5" x14ac:dyDescent="0.25">
      <c r="B105" s="9" t="s">
        <v>190</v>
      </c>
      <c r="E105" s="9">
        <v>1</v>
      </c>
    </row>
    <row r="106" spans="1:5" x14ac:dyDescent="0.25">
      <c r="A106" s="9" t="s">
        <v>210</v>
      </c>
      <c r="E106" s="9">
        <v>1</v>
      </c>
    </row>
    <row r="107" spans="1:5" x14ac:dyDescent="0.25">
      <c r="A107" s="9" t="s">
        <v>25</v>
      </c>
      <c r="B107" s="9" t="s">
        <v>26</v>
      </c>
      <c r="C107" s="9">
        <v>9950</v>
      </c>
      <c r="D107" s="9" t="s">
        <v>43</v>
      </c>
      <c r="E107" s="9">
        <v>1</v>
      </c>
    </row>
    <row r="108" spans="1:5" x14ac:dyDescent="0.25">
      <c r="C108" s="9" t="s">
        <v>211</v>
      </c>
      <c r="E108" s="9">
        <v>1</v>
      </c>
    </row>
    <row r="109" spans="1:5" x14ac:dyDescent="0.25">
      <c r="C109" s="9">
        <v>13516</v>
      </c>
      <c r="D109" s="9" t="s">
        <v>17</v>
      </c>
      <c r="E109" s="9">
        <v>2</v>
      </c>
    </row>
    <row r="110" spans="1:5" x14ac:dyDescent="0.25">
      <c r="C110" s="9" t="s">
        <v>212</v>
      </c>
      <c r="E110" s="9">
        <v>2</v>
      </c>
    </row>
    <row r="111" spans="1:5" x14ac:dyDescent="0.25">
      <c r="B111" s="9" t="s">
        <v>202</v>
      </c>
      <c r="E111" s="9">
        <v>3</v>
      </c>
    </row>
    <row r="112" spans="1:5" x14ac:dyDescent="0.25">
      <c r="A112" s="9" t="s">
        <v>213</v>
      </c>
      <c r="E112" s="9">
        <v>3</v>
      </c>
    </row>
    <row r="113" spans="1:5" x14ac:dyDescent="0.25">
      <c r="A113" s="9" t="s">
        <v>49</v>
      </c>
      <c r="B113" s="9" t="s">
        <v>11</v>
      </c>
      <c r="C113" s="9">
        <v>55440</v>
      </c>
      <c r="D113" s="9" t="s">
        <v>17</v>
      </c>
      <c r="E113" s="9">
        <v>1</v>
      </c>
    </row>
    <row r="114" spans="1:5" x14ac:dyDescent="0.25">
      <c r="C114" s="9" t="s">
        <v>214</v>
      </c>
      <c r="E114" s="9">
        <v>1</v>
      </c>
    </row>
    <row r="115" spans="1:5" x14ac:dyDescent="0.25">
      <c r="B115" s="9" t="s">
        <v>215</v>
      </c>
      <c r="E115" s="9">
        <v>1</v>
      </c>
    </row>
    <row r="116" spans="1:5" x14ac:dyDescent="0.25">
      <c r="A116" s="9" t="s">
        <v>216</v>
      </c>
      <c r="E116" s="9">
        <v>1</v>
      </c>
    </row>
    <row r="117" spans="1:5" x14ac:dyDescent="0.25">
      <c r="A117" s="9" t="s">
        <v>54</v>
      </c>
      <c r="B117" s="9" t="s">
        <v>46</v>
      </c>
      <c r="C117" s="9">
        <v>2821.375</v>
      </c>
      <c r="D117" s="9" t="s">
        <v>86</v>
      </c>
      <c r="E117" s="9">
        <v>1</v>
      </c>
    </row>
    <row r="118" spans="1:5" x14ac:dyDescent="0.25">
      <c r="C118" s="9" t="s">
        <v>217</v>
      </c>
      <c r="E118" s="9">
        <v>1</v>
      </c>
    </row>
    <row r="119" spans="1:5" x14ac:dyDescent="0.25">
      <c r="B119" s="9" t="s">
        <v>154</v>
      </c>
      <c r="E119" s="9">
        <v>1</v>
      </c>
    </row>
    <row r="120" spans="1:5" x14ac:dyDescent="0.25">
      <c r="A120" s="9" t="s">
        <v>218</v>
      </c>
      <c r="E120" s="9">
        <v>1</v>
      </c>
    </row>
    <row r="121" spans="1:5" x14ac:dyDescent="0.25">
      <c r="A121" s="9" t="s">
        <v>31</v>
      </c>
      <c r="B121" s="9" t="s">
        <v>32</v>
      </c>
      <c r="C121" s="9">
        <v>6500</v>
      </c>
      <c r="D121" s="9" t="s">
        <v>17</v>
      </c>
      <c r="E121" s="9">
        <v>2</v>
      </c>
    </row>
    <row r="122" spans="1:5" x14ac:dyDescent="0.25">
      <c r="C122" s="9" t="s">
        <v>219</v>
      </c>
      <c r="E122" s="9">
        <v>2</v>
      </c>
    </row>
    <row r="123" spans="1:5" x14ac:dyDescent="0.25">
      <c r="B123" s="9" t="s">
        <v>220</v>
      </c>
      <c r="E123" s="9">
        <v>2</v>
      </c>
    </row>
    <row r="124" spans="1:5" x14ac:dyDescent="0.25">
      <c r="A124" s="9" t="s">
        <v>221</v>
      </c>
      <c r="E124" s="9">
        <v>2</v>
      </c>
    </row>
    <row r="125" spans="1:5" x14ac:dyDescent="0.25">
      <c r="A125" s="9" t="s">
        <v>51</v>
      </c>
      <c r="B125" s="9" t="s">
        <v>46</v>
      </c>
      <c r="C125" s="9">
        <v>24319.771428571428</v>
      </c>
      <c r="D125" s="9" t="s">
        <v>85</v>
      </c>
      <c r="E125" s="9">
        <v>2</v>
      </c>
    </row>
    <row r="126" spans="1:5" x14ac:dyDescent="0.25">
      <c r="C126" s="9" t="s">
        <v>222</v>
      </c>
      <c r="E126" s="9">
        <v>2</v>
      </c>
    </row>
    <row r="127" spans="1:5" x14ac:dyDescent="0.25">
      <c r="C127" s="9">
        <v>31426</v>
      </c>
      <c r="D127" s="9" t="s">
        <v>85</v>
      </c>
      <c r="E127" s="9">
        <v>6</v>
      </c>
    </row>
    <row r="128" spans="1:5" x14ac:dyDescent="0.25">
      <c r="C128" s="9" t="s">
        <v>223</v>
      </c>
      <c r="E128" s="9">
        <v>6</v>
      </c>
    </row>
    <row r="129" spans="1:5" x14ac:dyDescent="0.25">
      <c r="B129" s="9" t="s">
        <v>154</v>
      </c>
      <c r="E129" s="9">
        <v>8</v>
      </c>
    </row>
    <row r="130" spans="1:5" x14ac:dyDescent="0.25">
      <c r="A130" s="9" t="s">
        <v>224</v>
      </c>
      <c r="E130" s="9">
        <v>8</v>
      </c>
    </row>
    <row r="131" spans="1:5" x14ac:dyDescent="0.25">
      <c r="A131" s="9" t="s">
        <v>18</v>
      </c>
      <c r="B131" s="9" t="s">
        <v>112</v>
      </c>
      <c r="C131" s="9">
        <v>19305</v>
      </c>
      <c r="D131" s="9" t="s">
        <v>17</v>
      </c>
      <c r="E131" s="9">
        <v>1</v>
      </c>
    </row>
    <row r="132" spans="1:5" x14ac:dyDescent="0.25">
      <c r="C132" s="9" t="s">
        <v>225</v>
      </c>
      <c r="E132" s="9">
        <v>1</v>
      </c>
    </row>
    <row r="133" spans="1:5" x14ac:dyDescent="0.25">
      <c r="B133" s="9" t="s">
        <v>226</v>
      </c>
      <c r="E133" s="9">
        <v>1</v>
      </c>
    </row>
    <row r="134" spans="1:5" x14ac:dyDescent="0.25">
      <c r="A134" s="9" t="s">
        <v>227</v>
      </c>
      <c r="E134" s="9">
        <v>1</v>
      </c>
    </row>
    <row r="135" spans="1:5" x14ac:dyDescent="0.25">
      <c r="A135" s="9" t="s">
        <v>50</v>
      </c>
      <c r="B135" s="9" t="s">
        <v>46</v>
      </c>
      <c r="C135" s="9">
        <v>5900</v>
      </c>
      <c r="D135" s="9" t="s">
        <v>84</v>
      </c>
      <c r="E135" s="9">
        <v>1</v>
      </c>
    </row>
    <row r="136" spans="1:5" x14ac:dyDescent="0.25">
      <c r="C136" s="9" t="s">
        <v>228</v>
      </c>
      <c r="E136" s="9">
        <v>1</v>
      </c>
    </row>
    <row r="137" spans="1:5" x14ac:dyDescent="0.25">
      <c r="C137" s="9">
        <v>20022</v>
      </c>
      <c r="D137" s="9" t="s">
        <v>128</v>
      </c>
      <c r="E137" s="9">
        <v>3</v>
      </c>
    </row>
    <row r="138" spans="1:5" x14ac:dyDescent="0.25">
      <c r="C138" s="9" t="s">
        <v>229</v>
      </c>
      <c r="E138" s="9">
        <v>3</v>
      </c>
    </row>
    <row r="139" spans="1:5" x14ac:dyDescent="0.25">
      <c r="B139" s="9" t="s">
        <v>154</v>
      </c>
      <c r="E139" s="9">
        <v>4</v>
      </c>
    </row>
    <row r="140" spans="1:5" x14ac:dyDescent="0.25">
      <c r="B140" s="9" t="s">
        <v>63</v>
      </c>
      <c r="C140" s="9">
        <v>34567.231428571431</v>
      </c>
      <c r="D140" s="9" t="s">
        <v>85</v>
      </c>
      <c r="E140" s="9">
        <v>1</v>
      </c>
    </row>
    <row r="141" spans="1:5" x14ac:dyDescent="0.25">
      <c r="C141" s="9" t="s">
        <v>230</v>
      </c>
      <c r="E141" s="9">
        <v>1</v>
      </c>
    </row>
    <row r="142" spans="1:5" x14ac:dyDescent="0.25">
      <c r="C142" s="9">
        <v>34568.231428571402</v>
      </c>
      <c r="D142" s="9" t="s">
        <v>85</v>
      </c>
      <c r="E142" s="9">
        <v>2</v>
      </c>
    </row>
    <row r="143" spans="1:5" x14ac:dyDescent="0.25">
      <c r="C143" s="9" t="s">
        <v>231</v>
      </c>
      <c r="E143" s="9">
        <v>2</v>
      </c>
    </row>
    <row r="144" spans="1:5" x14ac:dyDescent="0.25">
      <c r="B144" s="9" t="s">
        <v>232</v>
      </c>
      <c r="E144" s="9">
        <v>3</v>
      </c>
    </row>
    <row r="145" spans="1:5" x14ac:dyDescent="0.25">
      <c r="A145" s="9" t="s">
        <v>233</v>
      </c>
      <c r="E145" s="9">
        <v>7</v>
      </c>
    </row>
    <row r="146" spans="1:5" x14ac:dyDescent="0.25">
      <c r="A146" s="9" t="s">
        <v>96</v>
      </c>
      <c r="B146" s="9" t="s">
        <v>6</v>
      </c>
      <c r="C146" s="9">
        <v>27441</v>
      </c>
      <c r="D146" s="9" t="s">
        <v>86</v>
      </c>
      <c r="E146" s="9">
        <v>83</v>
      </c>
    </row>
    <row r="147" spans="1:5" x14ac:dyDescent="0.25">
      <c r="C147" s="9" t="s">
        <v>234</v>
      </c>
      <c r="E147" s="9">
        <v>83</v>
      </c>
    </row>
    <row r="148" spans="1:5" x14ac:dyDescent="0.25">
      <c r="B148" s="9" t="s">
        <v>168</v>
      </c>
      <c r="E148" s="9">
        <v>83</v>
      </c>
    </row>
    <row r="149" spans="1:5" x14ac:dyDescent="0.25">
      <c r="A149" s="9" t="s">
        <v>235</v>
      </c>
      <c r="E149" s="9">
        <v>83</v>
      </c>
    </row>
    <row r="150" spans="1:5" x14ac:dyDescent="0.25">
      <c r="A150" s="9" t="s">
        <v>150</v>
      </c>
      <c r="B150" s="9" t="s">
        <v>6</v>
      </c>
      <c r="C150" s="9">
        <v>13150</v>
      </c>
      <c r="D150" s="9" t="s">
        <v>84</v>
      </c>
      <c r="E150" s="9">
        <v>1</v>
      </c>
    </row>
    <row r="151" spans="1:5" x14ac:dyDescent="0.25">
      <c r="C151" s="9" t="s">
        <v>236</v>
      </c>
      <c r="E151" s="9">
        <v>1</v>
      </c>
    </row>
    <row r="152" spans="1:5" x14ac:dyDescent="0.25">
      <c r="B152" s="9" t="s">
        <v>168</v>
      </c>
      <c r="E152" s="9">
        <v>1</v>
      </c>
    </row>
    <row r="153" spans="1:5" x14ac:dyDescent="0.25">
      <c r="A153" s="9" t="s">
        <v>237</v>
      </c>
      <c r="E153" s="9">
        <v>1</v>
      </c>
    </row>
    <row r="154" spans="1:5" x14ac:dyDescent="0.25">
      <c r="A154" s="9" t="s">
        <v>141</v>
      </c>
      <c r="B154" s="9" t="s">
        <v>46</v>
      </c>
      <c r="C154" s="9">
        <v>6530</v>
      </c>
      <c r="D154" s="9" t="s">
        <v>142</v>
      </c>
      <c r="E154" s="9">
        <v>1</v>
      </c>
    </row>
    <row r="155" spans="1:5" x14ac:dyDescent="0.25">
      <c r="C155" s="9" t="s">
        <v>183</v>
      </c>
      <c r="E155" s="9">
        <v>1</v>
      </c>
    </row>
    <row r="156" spans="1:5" x14ac:dyDescent="0.25">
      <c r="B156" s="9" t="s">
        <v>154</v>
      </c>
      <c r="E156" s="9">
        <v>1</v>
      </c>
    </row>
    <row r="157" spans="1:5" x14ac:dyDescent="0.25">
      <c r="A157" s="9" t="s">
        <v>238</v>
      </c>
      <c r="E157" s="9">
        <v>1</v>
      </c>
    </row>
    <row r="158" spans="1:5" x14ac:dyDescent="0.25">
      <c r="A158" s="9" t="s">
        <v>33</v>
      </c>
      <c r="B158" s="9" t="s">
        <v>34</v>
      </c>
      <c r="C158" s="9">
        <v>5000</v>
      </c>
      <c r="D158" s="9" t="s">
        <v>17</v>
      </c>
      <c r="E158" s="9">
        <v>3</v>
      </c>
    </row>
    <row r="159" spans="1:5" x14ac:dyDescent="0.25">
      <c r="C159" s="9" t="s">
        <v>239</v>
      </c>
      <c r="E159" s="9">
        <v>3</v>
      </c>
    </row>
    <row r="160" spans="1:5" x14ac:dyDescent="0.25">
      <c r="B160" s="9" t="s">
        <v>207</v>
      </c>
      <c r="E160" s="9">
        <v>3</v>
      </c>
    </row>
    <row r="161" spans="1:5" x14ac:dyDescent="0.25">
      <c r="A161" s="9" t="s">
        <v>240</v>
      </c>
      <c r="E161" s="9">
        <v>3</v>
      </c>
    </row>
    <row r="162" spans="1:5" x14ac:dyDescent="0.25">
      <c r="A162" s="9" t="s">
        <v>52</v>
      </c>
      <c r="B162" s="9" t="s">
        <v>46</v>
      </c>
      <c r="C162" s="9">
        <v>7611</v>
      </c>
      <c r="D162" s="9" t="s">
        <v>17</v>
      </c>
      <c r="E162" s="9">
        <v>13</v>
      </c>
    </row>
    <row r="163" spans="1:5" x14ac:dyDescent="0.25">
      <c r="C163" s="9" t="s">
        <v>174</v>
      </c>
      <c r="E163" s="9">
        <v>13</v>
      </c>
    </row>
    <row r="164" spans="1:5" x14ac:dyDescent="0.25">
      <c r="B164" s="9" t="s">
        <v>154</v>
      </c>
      <c r="E164" s="9">
        <v>13</v>
      </c>
    </row>
    <row r="165" spans="1:5" x14ac:dyDescent="0.25">
      <c r="B165" s="9" t="s">
        <v>34</v>
      </c>
      <c r="C165" s="9">
        <v>7611</v>
      </c>
      <c r="D165" s="9" t="s">
        <v>17</v>
      </c>
      <c r="E165" s="9">
        <v>4</v>
      </c>
    </row>
    <row r="166" spans="1:5" x14ac:dyDescent="0.25">
      <c r="C166" s="9" t="s">
        <v>174</v>
      </c>
      <c r="E166" s="9">
        <v>4</v>
      </c>
    </row>
    <row r="167" spans="1:5" x14ac:dyDescent="0.25">
      <c r="B167" s="9" t="s">
        <v>207</v>
      </c>
      <c r="E167" s="9">
        <v>4</v>
      </c>
    </row>
    <row r="168" spans="1:5" x14ac:dyDescent="0.25">
      <c r="A168" s="9" t="s">
        <v>241</v>
      </c>
      <c r="E168" s="9">
        <v>17</v>
      </c>
    </row>
    <row r="169" spans="1:5" x14ac:dyDescent="0.25">
      <c r="A169" s="9" t="s">
        <v>117</v>
      </c>
      <c r="B169" s="9" t="s">
        <v>46</v>
      </c>
      <c r="C169" s="9">
        <v>62722</v>
      </c>
      <c r="D169" s="9" t="s">
        <v>85</v>
      </c>
      <c r="E169" s="9">
        <v>1</v>
      </c>
    </row>
    <row r="170" spans="1:5" x14ac:dyDescent="0.25">
      <c r="C170" s="9" t="s">
        <v>242</v>
      </c>
      <c r="E170" s="9">
        <v>1</v>
      </c>
    </row>
    <row r="171" spans="1:5" x14ac:dyDescent="0.25">
      <c r="B171" s="9" t="s">
        <v>154</v>
      </c>
      <c r="E171" s="9">
        <v>1</v>
      </c>
    </row>
    <row r="172" spans="1:5" x14ac:dyDescent="0.25">
      <c r="A172" s="9" t="s">
        <v>243</v>
      </c>
      <c r="E172" s="9">
        <v>1</v>
      </c>
    </row>
    <row r="173" spans="1:5" x14ac:dyDescent="0.25">
      <c r="A173" s="9" t="s">
        <v>120</v>
      </c>
      <c r="B173" s="9" t="s">
        <v>46</v>
      </c>
      <c r="C173" s="9">
        <v>57454.75</v>
      </c>
      <c r="D173" s="9" t="s">
        <v>85</v>
      </c>
      <c r="E173" s="9">
        <v>1</v>
      </c>
    </row>
    <row r="174" spans="1:5" x14ac:dyDescent="0.25">
      <c r="C174" s="9" t="s">
        <v>244</v>
      </c>
      <c r="E174" s="9">
        <v>1</v>
      </c>
    </row>
    <row r="175" spans="1:5" x14ac:dyDescent="0.25">
      <c r="C175" s="9">
        <v>62722</v>
      </c>
      <c r="D175" s="9" t="s">
        <v>85</v>
      </c>
      <c r="E175" s="9">
        <v>2</v>
      </c>
    </row>
    <row r="176" spans="1:5" x14ac:dyDescent="0.25">
      <c r="C176" s="9" t="s">
        <v>242</v>
      </c>
      <c r="E176" s="9">
        <v>2</v>
      </c>
    </row>
    <row r="177" spans="1:5" x14ac:dyDescent="0.25">
      <c r="B177" s="9" t="s">
        <v>154</v>
      </c>
      <c r="E177" s="9">
        <v>3</v>
      </c>
    </row>
    <row r="178" spans="1:5" x14ac:dyDescent="0.25">
      <c r="A178" s="9" t="s">
        <v>245</v>
      </c>
      <c r="E178" s="9">
        <v>3</v>
      </c>
    </row>
    <row r="179" spans="1:5" x14ac:dyDescent="0.25">
      <c r="A179" s="9" t="s">
        <v>113</v>
      </c>
      <c r="B179" s="9" t="s">
        <v>46</v>
      </c>
      <c r="C179" s="9">
        <v>34567</v>
      </c>
      <c r="D179" s="9" t="s">
        <v>128</v>
      </c>
      <c r="E179" s="9">
        <v>1</v>
      </c>
    </row>
    <row r="180" spans="1:5" x14ac:dyDescent="0.25">
      <c r="C180" s="9" t="s">
        <v>246</v>
      </c>
      <c r="E180" s="9">
        <v>1</v>
      </c>
    </row>
    <row r="181" spans="1:5" x14ac:dyDescent="0.25">
      <c r="C181" s="9">
        <v>34568.231428571402</v>
      </c>
      <c r="D181" s="9" t="s">
        <v>85</v>
      </c>
      <c r="E181" s="9">
        <v>3</v>
      </c>
    </row>
    <row r="182" spans="1:5" x14ac:dyDescent="0.25">
      <c r="C182" s="9" t="s">
        <v>231</v>
      </c>
      <c r="E182" s="9">
        <v>3</v>
      </c>
    </row>
    <row r="183" spans="1:5" x14ac:dyDescent="0.25">
      <c r="B183" s="9" t="s">
        <v>154</v>
      </c>
      <c r="E183" s="9">
        <v>4</v>
      </c>
    </row>
    <row r="184" spans="1:5" x14ac:dyDescent="0.25">
      <c r="A184" s="9" t="s">
        <v>247</v>
      </c>
      <c r="E184" s="9">
        <v>4</v>
      </c>
    </row>
    <row r="185" spans="1:5" x14ac:dyDescent="0.25">
      <c r="A185" s="9" t="s">
        <v>146</v>
      </c>
      <c r="B185" s="9" t="s">
        <v>46</v>
      </c>
      <c r="C185" s="9">
        <v>9405</v>
      </c>
      <c r="D185" s="9" t="s">
        <v>85</v>
      </c>
      <c r="E185" s="9">
        <v>4</v>
      </c>
    </row>
    <row r="186" spans="1:5" x14ac:dyDescent="0.25">
      <c r="C186" s="9" t="s">
        <v>248</v>
      </c>
      <c r="E186" s="9">
        <v>4</v>
      </c>
    </row>
    <row r="187" spans="1:5" x14ac:dyDescent="0.25">
      <c r="B187" s="9" t="s">
        <v>154</v>
      </c>
      <c r="E187" s="9">
        <v>4</v>
      </c>
    </row>
    <row r="188" spans="1:5" x14ac:dyDescent="0.25">
      <c r="A188" s="9" t="s">
        <v>249</v>
      </c>
      <c r="E188" s="9">
        <v>4</v>
      </c>
    </row>
    <row r="189" spans="1:5" x14ac:dyDescent="0.25">
      <c r="A189" s="9" t="s">
        <v>151</v>
      </c>
      <c r="E189" s="9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Data</vt:lpstr>
      <vt:lpstr>Summary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Manjiree Mhatre</dc:creator>
  <cp:lastModifiedBy>Durvesh Mhatre_ESPL</cp:lastModifiedBy>
  <dcterms:created xsi:type="dcterms:W3CDTF">2015-06-05T18:17:20Z</dcterms:created>
  <dcterms:modified xsi:type="dcterms:W3CDTF">2026-04-11T08:52:45Z</dcterms:modified>
</cp:coreProperties>
</file>